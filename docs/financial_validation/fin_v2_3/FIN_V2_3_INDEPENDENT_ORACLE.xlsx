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cle_Review" sheetId="1" r:id="rId1"/>
    <sheet name="1_sol_BASE_Inputs" sheetId="2" r:id="rId2"/>
    <sheet name="1_sol_BASE_CF" sheetId="3" r:id="rId3"/>
    <sheet name="1_sol_BASE_Roll" sheetId="4" r:id="rId4"/>
    <sheet name="2_sol_BANK_Inputs" sheetId="5" r:id="rId5"/>
    <sheet name="2_sol_BANK_CF" sheetId="6" r:id="rId6"/>
    <sheet name="2_sol_BANK_Roll" sheetId="7" r:id="rId7"/>
    <sheet name="3_win_BASE_Inputs" sheetId="8" r:id="rId8"/>
    <sheet name="3_win_BASE_CF" sheetId="9" r:id="rId9"/>
    <sheet name="3_win_BASE_Roll" sheetId="10" r:id="rId10"/>
    <sheet name="4_win_BANK_Inputs" sheetId="11" r:id="rId11"/>
    <sheet name="4_win_BANK_CF" sheetId="12" r:id="rId12"/>
    <sheet name="4_win_BANK_Roll" sheetId="13" r:id="rId13"/>
    <sheet name="5_dat_BASE_Inputs" sheetId="14" r:id="rId14"/>
    <sheet name="5_dat_BASE_CF" sheetId="15" r:id="rId15"/>
    <sheet name="5_dat_BASE_Roll" sheetId="16" r:id="rId16"/>
    <sheet name="6_dat_BANK_Inputs" sheetId="17" r:id="rId17"/>
    <sheet name="6_dat_BANK_CF" sheetId="18" r:id="rId18"/>
    <sheet name="6_dat_BANK_Roll" sheetId="19" r:id="rId19"/>
    <sheet name="7_ev_BASE_Inputs" sheetId="20" r:id="rId20"/>
    <sheet name="7_ev_BASE_CF" sheetId="21" r:id="rId21"/>
    <sheet name="7_ev_BASE_Roll" sheetId="22" r:id="rId22"/>
    <sheet name="8_ev_BANK_Inputs" sheetId="23" r:id="rId23"/>
    <sheet name="8_ev_BANK_CF" sheetId="24" r:id="rId24"/>
    <sheet name="8_ev_BANK_Roll" sheetId="25" r:id="rId25"/>
  </sheets>
  <calcPr calcId="124519" fullCalcOnLoad="1"/>
</workbook>
</file>

<file path=xl/sharedStrings.xml><?xml version="1.0" encoding="utf-8"?>
<sst xmlns="http://schemas.openxmlformats.org/spreadsheetml/2006/main" count="596" uniqueCount="86">
  <si>
    <t>Independent verification: synthetic disposable committed Runs; no commercial default rates</t>
  </si>
  <si>
    <t>BASE CFADS rebuilt from persisted statement EBITDA + financing income - cash tax.</t>
  </si>
  <si>
    <t>BANK CFADS, C1 unlevered components, debt opening and sponsor receipts are engine-derived input evidence.</t>
  </si>
  <si>
    <t>Formula caches are independently calculated using Decimal(50). Excel recalculates formulas on open.</t>
  </si>
  <si>
    <t>FIN-V2-2 composition uses exact PR #390 module in disposable test capture only; source branches remain separate.</t>
  </si>
  <si>
    <t>Case</t>
  </si>
  <si>
    <t>Metric</t>
  </si>
  <si>
    <t>Persisted FINCO</t>
  </si>
  <si>
    <t>Independent oracle</t>
  </si>
  <si>
    <t>Difference</t>
  </si>
  <si>
    <t>Run snapshot</t>
  </si>
  <si>
    <t>Evidence digest</t>
  </si>
  <si>
    <t>Immutable Run</t>
  </si>
  <si>
    <t>20261027T142419665354Z</t>
  </si>
  <si>
    <t>f29bf6421e872ac29a71c948d8472f5fcab1ba27f39b5a1268e00340be30b158</t>
  </si>
  <si>
    <t>Coverage rate (annual ratio)</t>
  </si>
  <si>
    <t>Observation date</t>
  </si>
  <si>
    <t>Contractual maturity</t>
  </si>
  <si>
    <t>Actual extinguishment</t>
  </si>
  <si>
    <t>Project life end</t>
  </si>
  <si>
    <t>BANK input authority: canonical debt-sizing CFADS; never relabelled P50</t>
  </si>
  <si>
    <t>End date</t>
  </si>
  <si>
    <t>Start date</t>
  </si>
  <si>
    <t>Index</t>
  </si>
  <si>
    <t>Engine BASE</t>
  </si>
  <si>
    <t>Engine BANK</t>
  </si>
  <si>
    <t>Statement EBITDA</t>
  </si>
  <si>
    <t>Statement FI</t>
  </si>
  <si>
    <t>Statement cash tax</t>
  </si>
  <si>
    <t>Rebuilt BASE</t>
  </si>
  <si>
    <t>BASE difference</t>
  </si>
  <si>
    <t>Senior opening</t>
  </si>
  <si>
    <t>Selected CFADS</t>
  </si>
  <si>
    <t>Discount divisor</t>
  </si>
  <si>
    <t>Contractual PV</t>
  </si>
  <si>
    <t>Actual PV</t>
  </si>
  <si>
    <t>Project-life PV</t>
  </si>
  <si>
    <t>Opening Senior</t>
  </si>
  <si>
    <t>Remaining horizon</t>
  </si>
  <si>
    <t>Independent LLCR</t>
  </si>
  <si>
    <t>Persisted ratio</t>
  </si>
  <si>
    <t>Project discount</t>
  </si>
  <si>
    <t>Sponsor hurdle</t>
  </si>
  <si>
    <t>Project date</t>
  </si>
  <si>
    <t>Investment</t>
  </si>
  <si>
    <t>Operating</t>
  </si>
  <si>
    <t>Tax</t>
  </si>
  <si>
    <t>Terminal</t>
  </si>
  <si>
    <t>Rebuilt net project CF</t>
  </si>
  <si>
    <t>Discounted project CF</t>
  </si>
  <si>
    <t>Sponsor date</t>
  </si>
  <si>
    <t>Equity cash out</t>
  </si>
  <si>
    <t>SHL cash out</t>
  </si>
  <si>
    <t>Equity distributions</t>
  </si>
  <si>
    <t>SHL interest</t>
  </si>
  <si>
    <t>SHL principal</t>
  </si>
  <si>
    <t>Rebuilt sponsor net CF</t>
  </si>
  <si>
    <t>Discounted sponsor CF</t>
  </si>
  <si>
    <t>1_sol_BASE</t>
  </si>
  <si>
    <t>llcr_contractual_maturity</t>
  </si>
  <si>
    <t>llcr_actual_repayment</t>
  </si>
  <si>
    <t>plcr</t>
  </si>
  <si>
    <t>min_rolling_llcr</t>
  </si>
  <si>
    <t>project_npv_keur</t>
  </si>
  <si>
    <t>sponsor_npv_keur</t>
  </si>
  <si>
    <t>20261027T142420977782Z</t>
  </si>
  <si>
    <t>9474dc7cb5d31f1a7675af01a064b9349d1a5a170245cf304f68cc6725daf89e</t>
  </si>
  <si>
    <t>2_sol_BANK</t>
  </si>
  <si>
    <t>20261027T142422605305Z</t>
  </si>
  <si>
    <t>37cb0fb5b119e0c07065b92a289050122f6b622ce5e13af115458f8b89fb814c</t>
  </si>
  <si>
    <t>3_win_BASE</t>
  </si>
  <si>
    <t>20261027T142424323930Z</t>
  </si>
  <si>
    <t>a20e9350fde7107de910716bff2ea92303880a0996b67577bb0d060b03aefb7c</t>
  </si>
  <si>
    <t>4_win_BANK</t>
  </si>
  <si>
    <t>20261027T142424948346Z</t>
  </si>
  <si>
    <t>e4020f4a51c751f9737f693e43863fb4e61d04a8e6c63bc11311d4c620b47b47</t>
  </si>
  <si>
    <t>5_dat_BASE</t>
  </si>
  <si>
    <t>20261027T142425566517Z</t>
  </si>
  <si>
    <t>b1037404532fc78adaba9208abffbf1077bbf0fec11395b843d4ba3e5ad5a751</t>
  </si>
  <si>
    <t>6_dat_BANK</t>
  </si>
  <si>
    <t>20261027T142426571794Z</t>
  </si>
  <si>
    <t>a60326a5f7605ab6192c64b465113db68fccfc8b8340ed9b717e6d2f2c535677</t>
  </si>
  <si>
    <t>7_ev_BASE</t>
  </si>
  <si>
    <t>20261027T142427443886Z</t>
  </si>
  <si>
    <t>1c78c16cc8d6809ba0265456dbd3302a94191da4f3e5b805c16fb7bb298e5451</t>
  </si>
  <si>
    <t>8_ev_BANK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</si>
</sst>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7" width="32.7109375" customWidth="1"/>
  </cols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4" spans="1:7">
      <c r="A4" t="s">
        <v>3</v>
      </c>
    </row>
    <row r="5" spans="1:7">
      <c r="A5" t="s">
        <v>4</v>
      </c>
    </row>
    <row r="7" spans="1: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A8" t="s">
        <v>58</v>
      </c>
      <c r="B8" t="s">
        <v>59</v>
      </c>
      <c r="C8">
        <v>1.680773115058549</v>
      </c>
      <c r="D8">
        <f>SUM('1_sol_BASE_Inputs'!N12:N61)/'1_sol_BASE_Inputs'!K12</f>
        <v>1.680773115058548</v>
      </c>
      <c r="E8">
        <f>D8-C8</f>
        <v>-1.1102230246251565e-15</v>
      </c>
      <c r="F8" t="s">
        <v>13</v>
      </c>
      <c r="G8" t="s">
        <v>14</v>
      </c>
    </row>
    <row r="9" spans="1:7">
      <c r="A9" t="s">
        <v>58</v>
      </c>
      <c r="B9" t="s">
        <v>60</v>
      </c>
      <c r="C9">
        <v>1.355818280386266</v>
      </c>
      <c r="D9">
        <f>SUM('1_sol_BASE_Inputs'!O12:O61)/'1_sol_BASE_Inputs'!K12</f>
        <v>1.3558182803862655</v>
      </c>
      <c r="E9">
        <f>D9-C9</f>
        <v>-6.661338147750939e-16</v>
      </c>
      <c r="F9" t="s">
        <v>13</v>
      </c>
      <c r="G9" t="s">
        <v>14</v>
      </c>
    </row>
    <row r="10" spans="1:7">
      <c r="A10" t="s">
        <v>58</v>
      </c>
      <c r="B10" t="s">
        <v>61</v>
      </c>
      <c r="C10">
        <v>2.40115577429999</v>
      </c>
      <c r="D10">
        <f>SUM('1_sol_BASE_Inputs'!P12:P61)/'1_sol_BASE_Inputs'!K12</f>
        <v>2.4011557742999883</v>
      </c>
      <c r="E10">
        <f>D10-C10</f>
        <v>-1.7763568394002505e-15</v>
      </c>
      <c r="F10" t="s">
        <v>13</v>
      </c>
      <c r="G10" t="s">
        <v>14</v>
      </c>
    </row>
    <row r="11" spans="1:7">
      <c r="A11" t="s">
        <v>58</v>
      </c>
      <c r="B11" t="s">
        <v>62</v>
      </c>
      <c r="C11">
        <v>1.355397212666386</v>
      </c>
      <c r="D11">
        <f>MIN('1_sol_BASE_Roll'!E2:E24)</f>
        <v>1.3553972126663858</v>
      </c>
      <c r="E11">
        <f>D11-C11</f>
        <v>-6.661338147750939e-16</v>
      </c>
      <c r="F11" t="s">
        <v>13</v>
      </c>
      <c r="G11" t="s">
        <v>14</v>
      </c>
    </row>
    <row r="12" spans="1:7">
      <c r="A12" t="s">
        <v>58</v>
      </c>
      <c r="B12" t="s">
        <v>63</v>
      </c>
      <c r="C12">
        <v>12753.77240735289</v>
      </c>
      <c r="D12">
        <f>SUM('1_sol_BASE_CF'!G4:G56)</f>
        <v>12753.772407352923</v>
      </c>
      <c r="E12">
        <f>D12-C12</f>
        <v>3.092281986027956e-11</v>
      </c>
      <c r="F12" t="s">
        <v>13</v>
      </c>
      <c r="G12" t="s">
        <v>14</v>
      </c>
    </row>
    <row r="13" spans="1:7">
      <c r="A13" t="s">
        <v>58</v>
      </c>
      <c r="B13" t="s">
        <v>64</v>
      </c>
      <c r="C13">
        <v>6181.712290780354</v>
      </c>
      <c r="D13">
        <f>SUM('1_sol_BASE_CF'!O4:O56)</f>
        <v>6181.7122907803705</v>
      </c>
      <c r="E13">
        <f>D13-C13</f>
        <v>1.6370904631912708e-11</v>
      </c>
      <c r="F13" t="s">
        <v>13</v>
      </c>
      <c r="G13" t="s">
        <v>14</v>
      </c>
    </row>
    <row r="14" spans="1:7">
      <c r="A14" t="s">
        <v>67</v>
      </c>
      <c r="B14" t="s">
        <v>59</v>
      </c>
      <c r="C14">
        <v>1.526925981005007</v>
      </c>
      <c r="D14">
        <f>SUM('2_sol_BANK_Inputs'!N12:N61)/'2_sol_BANK_Inputs'!K12</f>
        <v>1.5269259810050062</v>
      </c>
      <c r="E14">
        <f>D14-C14</f>
        <v>-6.661338147750939e-16</v>
      </c>
      <c r="F14" t="s">
        <v>65</v>
      </c>
      <c r="G14" t="s">
        <v>66</v>
      </c>
    </row>
    <row r="15" spans="1:7">
      <c r="A15" t="s">
        <v>67</v>
      </c>
      <c r="B15" t="s">
        <v>60</v>
      </c>
      <c r="C15">
        <v>1.233344465430849</v>
      </c>
      <c r="D15">
        <f>SUM('2_sol_BANK_Inputs'!O12:O61)/'2_sol_BANK_Inputs'!K12</f>
        <v>1.2333444654308479</v>
      </c>
      <c r="E15">
        <f>D15-C15</f>
        <v>-6.661338147750939e-16</v>
      </c>
      <c r="F15" t="s">
        <v>65</v>
      </c>
      <c r="G15" t="s">
        <v>66</v>
      </c>
    </row>
    <row r="16" spans="1:7">
      <c r="A16" t="s">
        <v>67</v>
      </c>
      <c r="B16" t="s">
        <v>61</v>
      </c>
      <c r="C16">
        <v>2.173838610159696</v>
      </c>
      <c r="D16">
        <f>SUM('2_sol_BANK_Inputs'!P12:P61)/'2_sol_BANK_Inputs'!K12</f>
        <v>2.173838610159695</v>
      </c>
      <c r="E16">
        <f>D16-C16</f>
        <v>-8.881784197001252e-16</v>
      </c>
      <c r="F16" t="s">
        <v>65</v>
      </c>
      <c r="G16" t="s">
        <v>66</v>
      </c>
    </row>
    <row r="17" spans="1:7">
      <c r="A17" t="s">
        <v>67</v>
      </c>
      <c r="B17" t="s">
        <v>62</v>
      </c>
      <c r="C17">
        <v>1.233344465430849</v>
      </c>
      <c r="D17">
        <f>MIN('2_sol_BANK_Roll'!E2:E24)</f>
        <v>1.2333444654308479</v>
      </c>
      <c r="E17">
        <f>D17-C17</f>
        <v>-6.661338147750939e-16</v>
      </c>
      <c r="F17" t="s">
        <v>65</v>
      </c>
      <c r="G17" t="s">
        <v>66</v>
      </c>
    </row>
    <row r="18" spans="1:7">
      <c r="A18" t="s">
        <v>67</v>
      </c>
      <c r="B18" t="s">
        <v>63</v>
      </c>
      <c r="C18">
        <v>12753.77240735289</v>
      </c>
      <c r="D18">
        <f>SUM('2_sol_BANK_CF'!G4:G56)</f>
        <v>12753.772407352923</v>
      </c>
      <c r="E18">
        <f>D18-C18</f>
        <v>3.092281986027956e-11</v>
      </c>
      <c r="F18" t="s">
        <v>65</v>
      </c>
      <c r="G18" t="s">
        <v>66</v>
      </c>
    </row>
    <row r="19" spans="1:7">
      <c r="A19" t="s">
        <v>67</v>
      </c>
      <c r="B19" t="s">
        <v>64</v>
      </c>
      <c r="C19">
        <v>6181.712290780354</v>
      </c>
      <c r="D19">
        <f>SUM('2_sol_BANK_CF'!O4:O56)</f>
        <v>6181.7122907803705</v>
      </c>
      <c r="E19">
        <f>D19-C19</f>
        <v>1.6370904631912708e-11</v>
      </c>
      <c r="F19" t="s">
        <v>65</v>
      </c>
      <c r="G19" t="s">
        <v>66</v>
      </c>
    </row>
    <row r="20" spans="1:7">
      <c r="A20" t="s">
        <v>70</v>
      </c>
      <c r="B20" t="s">
        <v>59</v>
      </c>
      <c r="C20">
        <v>1.917997765638042</v>
      </c>
      <c r="D20">
        <f>SUM('3_win_BASE_Inputs'!N12:N65)/'3_win_BASE_Inputs'!K12</f>
        <v>1.9179977656380405</v>
      </c>
      <c r="E20">
        <f>D20-C20</f>
        <v>-1.5543122344752192e-15</v>
      </c>
      <c r="F20" t="s">
        <v>68</v>
      </c>
      <c r="G20" t="s">
        <v>69</v>
      </c>
    </row>
    <row r="21" spans="1:7">
      <c r="A21" t="s">
        <v>70</v>
      </c>
      <c r="B21" t="s">
        <v>60</v>
      </c>
      <c r="C21">
        <v>1.38404957227308</v>
      </c>
      <c r="D21">
        <f>SUM('3_win_BASE_Inputs'!O12:O65)/'3_win_BASE_Inputs'!K12</f>
        <v>1.384049572273079</v>
      </c>
      <c r="E21">
        <f>D21-C21</f>
        <v>-8.881784197001252e-16</v>
      </c>
      <c r="F21" t="s">
        <v>68</v>
      </c>
      <c r="G21" t="s">
        <v>69</v>
      </c>
    </row>
    <row r="22" spans="1:7">
      <c r="A22" t="s">
        <v>70</v>
      </c>
      <c r="B22" t="s">
        <v>61</v>
      </c>
      <c r="C22">
        <v>2.896141929831653</v>
      </c>
      <c r="D22">
        <f>SUM('3_win_BASE_Inputs'!P12:P65)/'3_win_BASE_Inputs'!K12</f>
        <v>2.896141929831649</v>
      </c>
      <c r="E22">
        <f>D22-C22</f>
        <v>-3.552713678800501e-15</v>
      </c>
      <c r="F22" t="s">
        <v>68</v>
      </c>
      <c r="G22" t="s">
        <v>69</v>
      </c>
    </row>
    <row r="23" spans="1:7">
      <c r="A23" t="s">
        <v>70</v>
      </c>
      <c r="B23" t="s">
        <v>62</v>
      </c>
      <c r="C23">
        <v>1.38404957227308</v>
      </c>
      <c r="D23">
        <f>MIN('3_win_BASE_Roll'!E2:E21)</f>
        <v>1.384049572273079</v>
      </c>
      <c r="E23">
        <f>D23-C23</f>
        <v>-8.881784197001252e-16</v>
      </c>
      <c r="F23" t="s">
        <v>68</v>
      </c>
      <c r="G23" t="s">
        <v>69</v>
      </c>
    </row>
    <row r="24" spans="1:7">
      <c r="A24" t="s">
        <v>70</v>
      </c>
      <c r="B24" t="s">
        <v>63</v>
      </c>
      <c r="C24">
        <v>28065.33918700572</v>
      </c>
      <c r="D24">
        <f>SUM('3_win_BASE_CF'!G4:G61)</f>
        <v>28065.339187005782</v>
      </c>
      <c r="E24">
        <f>D24-C24</f>
        <v>5.820766091346741e-11</v>
      </c>
      <c r="F24" t="s">
        <v>68</v>
      </c>
      <c r="G24" t="s">
        <v>69</v>
      </c>
    </row>
    <row r="25" spans="1:7">
      <c r="A25" t="s">
        <v>70</v>
      </c>
      <c r="B25" t="s">
        <v>64</v>
      </c>
      <c r="C25">
        <v>13450.11412035398</v>
      </c>
      <c r="D25">
        <f>SUM('3_win_BASE_CF'!O4:O61)</f>
        <v>13450.114120354012</v>
      </c>
      <c r="E25">
        <f>D25-C25</f>
        <v>3.2741809263825417e-11</v>
      </c>
      <c r="F25" t="s">
        <v>68</v>
      </c>
      <c r="G25" t="s">
        <v>69</v>
      </c>
    </row>
    <row r="26" spans="1:7">
      <c r="A26" t="s">
        <v>73</v>
      </c>
      <c r="B26" t="s">
        <v>59</v>
      </c>
      <c r="C26">
        <v>1.737795364723942</v>
      </c>
      <c r="D26">
        <f>SUM('4_win_BANK_Inputs'!N12:N65)/'4_win_BANK_Inputs'!K12</f>
        <v>1.7377953647239415</v>
      </c>
      <c r="E26">
        <f>D26-C26</f>
        <v>-6.661338147750939e-16</v>
      </c>
      <c r="F26" t="s">
        <v>71</v>
      </c>
      <c r="G26" t="s">
        <v>72</v>
      </c>
    </row>
    <row r="27" spans="1:7">
      <c r="A27" t="s">
        <v>73</v>
      </c>
      <c r="B27" t="s">
        <v>60</v>
      </c>
      <c r="C27">
        <v>1.256572629823493</v>
      </c>
      <c r="D27">
        <f>SUM('4_win_BANK_Inputs'!O12:O65)/'4_win_BANK_Inputs'!K12</f>
        <v>1.2565726298234925</v>
      </c>
      <c r="E27">
        <f>D27-C27</f>
        <v>-2.220446049250313e-16</v>
      </c>
      <c r="F27" t="s">
        <v>71</v>
      </c>
      <c r="G27" t="s">
        <v>72</v>
      </c>
    </row>
    <row r="28" spans="1:7">
      <c r="A28" t="s">
        <v>73</v>
      </c>
      <c r="B28" t="s">
        <v>61</v>
      </c>
      <c r="C28">
        <v>2.615842968201295</v>
      </c>
      <c r="D28">
        <f>SUM('4_win_BANK_Inputs'!P12:P65)/'4_win_BANK_Inputs'!K12</f>
        <v>2.6158429682012945</v>
      </c>
      <c r="E28">
        <f>D28-C28</f>
        <v>-4.440892098500626e-16</v>
      </c>
      <c r="F28" t="s">
        <v>71</v>
      </c>
      <c r="G28" t="s">
        <v>72</v>
      </c>
    </row>
    <row r="29" spans="1:7">
      <c r="A29" t="s">
        <v>73</v>
      </c>
      <c r="B29" t="s">
        <v>62</v>
      </c>
      <c r="C29">
        <v>1.256572629823493</v>
      </c>
      <c r="D29">
        <f>MIN('4_win_BANK_Roll'!E2:E21)</f>
        <v>1.2565726298234925</v>
      </c>
      <c r="E29">
        <f>D29-C29</f>
        <v>-2.220446049250313e-16</v>
      </c>
      <c r="F29" t="s">
        <v>71</v>
      </c>
      <c r="G29" t="s">
        <v>72</v>
      </c>
    </row>
    <row r="30" spans="1:7">
      <c r="A30" t="s">
        <v>73</v>
      </c>
      <c r="B30" t="s">
        <v>63</v>
      </c>
      <c r="C30">
        <v>28065.33918700572</v>
      </c>
      <c r="D30">
        <f>SUM('4_win_BANK_CF'!G4:G61)</f>
        <v>28065.339187005782</v>
      </c>
      <c r="E30">
        <f>D30-C30</f>
        <v>5.820766091346741e-11</v>
      </c>
      <c r="F30" t="s">
        <v>71</v>
      </c>
      <c r="G30" t="s">
        <v>72</v>
      </c>
    </row>
    <row r="31" spans="1:7">
      <c r="A31" t="s">
        <v>73</v>
      </c>
      <c r="B31" t="s">
        <v>64</v>
      </c>
      <c r="C31">
        <v>13450.11412035398</v>
      </c>
      <c r="D31">
        <f>SUM('4_win_BANK_CF'!O4:O61)</f>
        <v>13450.114120354012</v>
      </c>
      <c r="E31">
        <f>D31-C31</f>
        <v>3.2741809263825417e-11</v>
      </c>
      <c r="F31" t="s">
        <v>71</v>
      </c>
      <c r="G31" t="s">
        <v>72</v>
      </c>
    </row>
    <row r="32" spans="1:7">
      <c r="A32" t="s">
        <v>76</v>
      </c>
      <c r="B32" t="s">
        <v>59</v>
      </c>
      <c r="C32">
        <v>1.863721916679923</v>
      </c>
      <c r="D32">
        <f>SUM('5_dat_BASE_Inputs'!N12:N51)/'5_dat_BASE_Inputs'!K12</f>
        <v>1.8637219166799224</v>
      </c>
      <c r="E32">
        <f>D32-C32</f>
        <v>-8.881784197001252e-16</v>
      </c>
      <c r="F32" t="s">
        <v>74</v>
      </c>
      <c r="G32" t="s">
        <v>75</v>
      </c>
    </row>
    <row r="33" spans="1:7">
      <c r="A33" t="s">
        <v>76</v>
      </c>
      <c r="B33" t="s">
        <v>60</v>
      </c>
      <c r="C33">
        <v>1.34783286767847</v>
      </c>
      <c r="D33">
        <f>SUM('5_dat_BASE_Inputs'!O12:O51)/'5_dat_BASE_Inputs'!K12</f>
        <v>1.3478328676784694</v>
      </c>
      <c r="E33">
        <f>D33-C33</f>
        <v>-6.661338147750939e-16</v>
      </c>
      <c r="F33" t="s">
        <v>74</v>
      </c>
      <c r="G33" t="s">
        <v>75</v>
      </c>
    </row>
    <row r="34" spans="1:7">
      <c r="A34" t="s">
        <v>76</v>
      </c>
      <c r="B34" t="s">
        <v>61</v>
      </c>
      <c r="C34">
        <v>2.736710812012852</v>
      </c>
      <c r="D34">
        <f>SUM('5_dat_BASE_Inputs'!P12:P51)/'5_dat_BASE_Inputs'!K12</f>
        <v>2.7367108120128507</v>
      </c>
      <c r="E34">
        <f>D34-C34</f>
        <v>-1.3322676295501878e-15</v>
      </c>
      <c r="F34" t="s">
        <v>74</v>
      </c>
      <c r="G34" t="s">
        <v>75</v>
      </c>
    </row>
    <row r="35" spans="1:7">
      <c r="A35" t="s">
        <v>76</v>
      </c>
      <c r="B35" t="s">
        <v>62</v>
      </c>
      <c r="C35">
        <v>1.334380878763428</v>
      </c>
      <c r="D35">
        <f>MIN('5_dat_BASE_Roll'!E2:E18)</f>
        <v>1.334380878763428</v>
      </c>
      <c r="E35">
        <f>D35-C35</f>
        <v>-2.220446049250313e-16</v>
      </c>
      <c r="F35" t="s">
        <v>74</v>
      </c>
      <c r="G35" t="s">
        <v>75</v>
      </c>
    </row>
    <row r="36" spans="1:7">
      <c r="A36" t="s">
        <v>76</v>
      </c>
      <c r="B36" t="s">
        <v>63</v>
      </c>
      <c r="C36">
        <v>-82744.43362767846</v>
      </c>
      <c r="D36">
        <f>SUM('5_dat_BASE_CF'!G4:G47)</f>
        <v>-82744.43362767834</v>
      </c>
      <c r="E36">
        <f>D36-C36</f>
        <v>1.1641532182693481e-10</v>
      </c>
      <c r="F36" t="s">
        <v>74</v>
      </c>
      <c r="G36" t="s">
        <v>75</v>
      </c>
    </row>
    <row r="37" spans="1:7">
      <c r="A37" t="s">
        <v>76</v>
      </c>
      <c r="B37" t="s">
        <v>64</v>
      </c>
      <c r="C37">
        <v>-103927.1905950761</v>
      </c>
      <c r="D37">
        <f>SUM('5_dat_BASE_CF'!O4:O47)</f>
        <v>-103927.19059507603</v>
      </c>
      <c r="E37">
        <f>D37-C37</f>
        <v>8.731149137020111e-11</v>
      </c>
      <c r="F37" t="s">
        <v>74</v>
      </c>
      <c r="G37" t="s">
        <v>75</v>
      </c>
    </row>
    <row r="38" spans="1:7">
      <c r="A38" t="s">
        <v>79</v>
      </c>
      <c r="B38" t="s">
        <v>59</v>
      </c>
      <c r="C38">
        <v>1.863721916679923</v>
      </c>
      <c r="D38">
        <f>SUM('6_dat_BANK_Inputs'!N12:N51)/'6_dat_BANK_Inputs'!K12</f>
        <v>1.8637219166799224</v>
      </c>
      <c r="E38">
        <f>D38-C38</f>
        <v>-8.881784197001252e-16</v>
      </c>
      <c r="F38" t="s">
        <v>77</v>
      </c>
      <c r="G38" t="s">
        <v>78</v>
      </c>
    </row>
    <row r="39" spans="1:7">
      <c r="A39" t="s">
        <v>79</v>
      </c>
      <c r="B39" t="s">
        <v>60</v>
      </c>
      <c r="C39">
        <v>1.34783286767847</v>
      </c>
      <c r="D39">
        <f>SUM('6_dat_BANK_Inputs'!O12:O51)/'6_dat_BANK_Inputs'!K12</f>
        <v>1.3478328676784694</v>
      </c>
      <c r="E39">
        <f>D39-C39</f>
        <v>-6.661338147750939e-16</v>
      </c>
      <c r="F39" t="s">
        <v>77</v>
      </c>
      <c r="G39" t="s">
        <v>78</v>
      </c>
    </row>
    <row r="40" spans="1:7">
      <c r="A40" t="s">
        <v>79</v>
      </c>
      <c r="B40" t="s">
        <v>61</v>
      </c>
      <c r="C40">
        <v>2.736710812012852</v>
      </c>
      <c r="D40">
        <f>SUM('6_dat_BANK_Inputs'!P12:P51)/'6_dat_BANK_Inputs'!K12</f>
        <v>2.7367108120128507</v>
      </c>
      <c r="E40">
        <f>D40-C40</f>
        <v>-1.3322676295501878e-15</v>
      </c>
      <c r="F40" t="s">
        <v>77</v>
      </c>
      <c r="G40" t="s">
        <v>78</v>
      </c>
    </row>
    <row r="41" spans="1:7">
      <c r="A41" t="s">
        <v>79</v>
      </c>
      <c r="B41" t="s">
        <v>62</v>
      </c>
      <c r="C41">
        <v>1.334380878763428</v>
      </c>
      <c r="D41">
        <f>MIN('6_dat_BANK_Roll'!E2:E18)</f>
        <v>1.334380878763428</v>
      </c>
      <c r="E41">
        <f>D41-C41</f>
        <v>-2.220446049250313e-16</v>
      </c>
      <c r="F41" t="s">
        <v>77</v>
      </c>
      <c r="G41" t="s">
        <v>78</v>
      </c>
    </row>
    <row r="42" spans="1:7">
      <c r="A42" t="s">
        <v>79</v>
      </c>
      <c r="B42" t="s">
        <v>63</v>
      </c>
      <c r="C42">
        <v>-82744.43362767846</v>
      </c>
      <c r="D42">
        <f>SUM('6_dat_BANK_CF'!G4:G47)</f>
        <v>-82744.43362767834</v>
      </c>
      <c r="E42">
        <f>D42-C42</f>
        <v>1.1641532182693481e-10</v>
      </c>
      <c r="F42" t="s">
        <v>77</v>
      </c>
      <c r="G42" t="s">
        <v>78</v>
      </c>
    </row>
    <row r="43" spans="1:7">
      <c r="A43" t="s">
        <v>79</v>
      </c>
      <c r="B43" t="s">
        <v>64</v>
      </c>
      <c r="C43">
        <v>-103927.1905950761</v>
      </c>
      <c r="D43">
        <f>SUM('6_dat_BANK_CF'!O4:O47)</f>
        <v>-103927.19059507603</v>
      </c>
      <c r="E43">
        <f>D43-C43</f>
        <v>8.731149137020111e-11</v>
      </c>
      <c r="F43" t="s">
        <v>77</v>
      </c>
      <c r="G43" t="s">
        <v>78</v>
      </c>
    </row>
    <row r="44" spans="1:7">
      <c r="A44" t="s">
        <v>82</v>
      </c>
      <c r="B44" t="s">
        <v>59</v>
      </c>
      <c r="C44">
        <v>1.838131161863585</v>
      </c>
      <c r="D44">
        <f>SUM('7_ev_BASE_Inputs'!N12:N51)/'7_ev_BASE_Inputs'!K12</f>
        <v>1.838131161863584</v>
      </c>
      <c r="E44">
        <f>D44-C44</f>
        <v>-8.881784197001252e-16</v>
      </c>
      <c r="F44" t="s">
        <v>80</v>
      </c>
      <c r="G44" t="s">
        <v>81</v>
      </c>
    </row>
    <row r="45" spans="1:7">
      <c r="A45" t="s">
        <v>82</v>
      </c>
      <c r="B45" t="s">
        <v>60</v>
      </c>
      <c r="C45">
        <v>1.435288678108099</v>
      </c>
      <c r="D45">
        <f>SUM('7_ev_BASE_Inputs'!O12:O51)/'7_ev_BASE_Inputs'!K12</f>
        <v>1.4352886781080982</v>
      </c>
      <c r="E45">
        <f>D45-C45</f>
        <v>-4.440892098500626e-16</v>
      </c>
      <c r="F45" t="s">
        <v>80</v>
      </c>
      <c r="G45" t="s">
        <v>81</v>
      </c>
    </row>
    <row r="46" spans="1:7">
      <c r="A46" t="s">
        <v>82</v>
      </c>
      <c r="B46" t="s">
        <v>61</v>
      </c>
      <c r="C46">
        <v>3.079169568294741</v>
      </c>
      <c r="D46">
        <f>SUM('7_ev_BASE_Inputs'!P12:P51)/'7_ev_BASE_Inputs'!K12</f>
        <v>3.0791695682947386</v>
      </c>
      <c r="E46">
        <f>D46-C46</f>
        <v>-2.220446049250313e-15</v>
      </c>
      <c r="F46" t="s">
        <v>80</v>
      </c>
      <c r="G46" t="s">
        <v>81</v>
      </c>
    </row>
    <row r="47" spans="1:7">
      <c r="A47" t="s">
        <v>82</v>
      </c>
      <c r="B47" t="s">
        <v>62</v>
      </c>
      <c r="C47">
        <v>1.435288678108099</v>
      </c>
      <c r="D47">
        <f>MIN('7_ev_BASE_Roll'!E2:E16)</f>
        <v>1.4352886781080982</v>
      </c>
      <c r="E47">
        <f>D47-C47</f>
        <v>-4.440892098500626e-16</v>
      </c>
      <c r="F47" t="s">
        <v>80</v>
      </c>
      <c r="G47" t="s">
        <v>81</v>
      </c>
    </row>
    <row r="48" spans="1:7">
      <c r="A48" t="s">
        <v>82</v>
      </c>
      <c r="B48" t="s">
        <v>63</v>
      </c>
      <c r="C48">
        <v>5990.220837050829</v>
      </c>
      <c r="D48">
        <f>SUM('7_ev_BASE_CF'!G4:G45)</f>
        <v>5990.220837050838</v>
      </c>
      <c r="E48">
        <f>D48-C48</f>
        <v>9.094947017729282e-12</v>
      </c>
      <c r="F48" t="s">
        <v>80</v>
      </c>
      <c r="G48" t="s">
        <v>81</v>
      </c>
    </row>
    <row r="49" spans="1:7">
      <c r="A49" t="s">
        <v>82</v>
      </c>
      <c r="B49" t="s">
        <v>64</v>
      </c>
      <c r="C49">
        <v>2950.417347504734</v>
      </c>
      <c r="D49">
        <f>SUM('7_ev_BASE_CF'!O4:O45)</f>
        <v>2950.41734750474</v>
      </c>
      <c r="E49">
        <f>D49-C49</f>
        <v>6.366462912410498e-12</v>
      </c>
      <c r="F49" t="s">
        <v>80</v>
      </c>
      <c r="G49" t="s">
        <v>81</v>
      </c>
    </row>
    <row r="50" spans="1:7">
      <c r="A50" t="s">
        <v>85</v>
      </c>
      <c r="B50" t="s">
        <v>59</v>
      </c>
      <c r="C50">
        <v>1.838131161863585</v>
      </c>
      <c r="D50">
        <f>SUM('8_ev_BANK_Inputs'!N12:N51)/'8_ev_BANK_Inputs'!K12</f>
        <v>1.838131161863584</v>
      </c>
      <c r="E50">
        <f>D50-C50</f>
        <v>-8.881784197001252e-16</v>
      </c>
      <c r="F50" t="s">
        <v>83</v>
      </c>
      <c r="G50" t="s">
        <v>84</v>
      </c>
    </row>
    <row r="51" spans="1:7">
      <c r="A51" t="s">
        <v>85</v>
      </c>
      <c r="B51" t="s">
        <v>60</v>
      </c>
      <c r="C51">
        <v>1.435288678108099</v>
      </c>
      <c r="D51">
        <f>SUM('8_ev_BANK_Inputs'!O12:O51)/'8_ev_BANK_Inputs'!K12</f>
        <v>1.4352886781080982</v>
      </c>
      <c r="E51">
        <f>D51-C51</f>
        <v>-4.440892098500626e-16</v>
      </c>
      <c r="F51" t="s">
        <v>83</v>
      </c>
      <c r="G51" t="s">
        <v>84</v>
      </c>
    </row>
    <row r="52" spans="1:7">
      <c r="A52" t="s">
        <v>85</v>
      </c>
      <c r="B52" t="s">
        <v>61</v>
      </c>
      <c r="C52">
        <v>3.079169568294741</v>
      </c>
      <c r="D52">
        <f>SUM('8_ev_BANK_Inputs'!P12:P51)/'8_ev_BANK_Inputs'!K12</f>
        <v>3.0791695682947386</v>
      </c>
      <c r="E52">
        <f>D52-C52</f>
        <v>-2.220446049250313e-15</v>
      </c>
      <c r="F52" t="s">
        <v>83</v>
      </c>
      <c r="G52" t="s">
        <v>84</v>
      </c>
    </row>
    <row r="53" spans="1:7">
      <c r="A53" t="s">
        <v>85</v>
      </c>
      <c r="B53" t="s">
        <v>62</v>
      </c>
      <c r="C53">
        <v>1.435288678108099</v>
      </c>
      <c r="D53">
        <f>MIN('8_ev_BANK_Roll'!E2:E16)</f>
        <v>1.4352886781080982</v>
      </c>
      <c r="E53">
        <f>D53-C53</f>
        <v>-4.440892098500626e-16</v>
      </c>
      <c r="F53" t="s">
        <v>83</v>
      </c>
      <c r="G53" t="s">
        <v>84</v>
      </c>
    </row>
    <row r="54" spans="1:7">
      <c r="A54" t="s">
        <v>85</v>
      </c>
      <c r="B54" t="s">
        <v>63</v>
      </c>
      <c r="C54">
        <v>5990.220837050829</v>
      </c>
      <c r="D54">
        <f>SUM('8_ev_BANK_CF'!G4:G45)</f>
        <v>5990.220837050838</v>
      </c>
      <c r="E54">
        <f>D54-C54</f>
        <v>9.094947017729282e-12</v>
      </c>
      <c r="F54" t="s">
        <v>83</v>
      </c>
      <c r="G54" t="s">
        <v>84</v>
      </c>
    </row>
    <row r="55" spans="1:7">
      <c r="A55" t="s">
        <v>85</v>
      </c>
      <c r="B55" t="s">
        <v>64</v>
      </c>
      <c r="C55">
        <v>2950.417347504734</v>
      </c>
      <c r="D55">
        <f>SUM('8_ev_BANK_CF'!O4:O45)</f>
        <v>2950.41734750474</v>
      </c>
      <c r="E55">
        <f>D55-C55</f>
        <v>6.366462912410498e-12</v>
      </c>
      <c r="F55" t="s">
        <v>83</v>
      </c>
      <c r="G5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1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6" width="21.7109375" customWidth="1"/>
  </cols>
  <sheetData>
    <row r="1" spans="1:16">
      <c r="A1" t="s">
        <v>12</v>
      </c>
      <c r="B1" t="s">
        <v>13</v>
      </c>
      <c r="C1" t="s">
        <v>14</v>
      </c>
    </row>
    <row r="2" spans="1:16">
      <c r="A2" t="s">
        <v>15</v>
      </c>
      <c r="B2">
        <v>0.055</v>
      </c>
    </row>
    <row r="3" spans="1:16">
      <c r="A3" t="s">
        <v>16</v>
      </c>
      <c r="B3" s="1">
        <v>47908</v>
      </c>
    </row>
    <row r="4" spans="1:16">
      <c r="A4" t="s">
        <v>17</v>
      </c>
      <c r="B4" s="1">
        <v>53327</v>
      </c>
    </row>
    <row r="5" spans="1:16">
      <c r="A5" t="s">
        <v>18</v>
      </c>
      <c r="B5" s="1">
        <v>52047</v>
      </c>
    </row>
    <row r="6" spans="1:16">
      <c r="A6" t="s">
        <v>19</v>
      </c>
      <c r="B6" s="1">
        <v>56979</v>
      </c>
    </row>
    <row r="8" spans="1:16">
      <c r="A8" t="s">
        <v>20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</row>
    <row r="12" spans="1:16">
      <c r="A12" s="1">
        <v>48029</v>
      </c>
      <c r="B12" s="1">
        <v>47908</v>
      </c>
      <c r="C12">
        <v>3</v>
      </c>
      <c r="D12">
        <v>1445.442630136986</v>
      </c>
      <c r="E12">
        <v>1288.196997260274</v>
      </c>
      <c r="F12">
        <v>1445.442630136986</v>
      </c>
      <c r="G12">
        <v>0</v>
      </c>
      <c r="H12">
        <v>0</v>
      </c>
      <c r="I12">
        <f>F12+G12-H12</f>
        <v>1445.4426301369863</v>
      </c>
      <c r="J12">
        <f>I12-D12</f>
        <v>0.0</v>
      </c>
      <c r="K12">
        <v>26925.86178141316</v>
      </c>
      <c r="L12">
        <f>I12</f>
        <v>1445.4426301369863</v>
      </c>
      <c r="M12">
        <f>(1+$B$2)^((A12-$B$3)/365)</f>
        <v>1.017907582851968</v>
      </c>
      <c r="N12">
        <f>IF(A12&lt;=$B$4,L12/M12,0)</f>
        <v>1420.0136186107907</v>
      </c>
      <c r="O12">
        <f>IF(A12&lt;=$B$5,L12/M12,0)</f>
        <v>1420.0136186107907</v>
      </c>
      <c r="P12">
        <f>IF(A12&lt;=$B$6,L12/M12,0)</f>
        <v>1420.0136186107907</v>
      </c>
    </row>
    <row r="13" spans="1:16">
      <c r="A13" s="1">
        <v>48213</v>
      </c>
      <c r="B13" s="1">
        <v>48029</v>
      </c>
      <c r="C13">
        <v>4</v>
      </c>
      <c r="D13">
        <v>2092.489052227824</v>
      </c>
      <c r="E13">
        <v>1942.854487671233</v>
      </c>
      <c r="F13">
        <v>2180.011835616438</v>
      </c>
      <c r="G13">
        <v>0</v>
      </c>
      <c r="H13">
        <v>87.5227833886143</v>
      </c>
      <c r="I13">
        <f>F13+G13-H13</f>
        <v>2092.4890522278242</v>
      </c>
      <c r="J13">
        <f>I13-D13</f>
        <v>0.0</v>
      </c>
      <c r="K13">
        <v>26350.11875634989</v>
      </c>
      <c r="L13">
        <f>I13</f>
        <v>2092.4890522278242</v>
      </c>
      <c r="M13">
        <f>(1+$B$2)^((A13-$B$3)/365)</f>
        <v>1.045755452164739</v>
      </c>
      <c r="N13">
        <f>IF(A13&lt;=$B$4,L13/M13,0)</f>
        <v>2000.9353505127049</v>
      </c>
      <c r="O13">
        <f>IF(A13&lt;=$B$5,L13/M13,0)</f>
        <v>2000.9353505127049</v>
      </c>
      <c r="P13">
        <f>IF(A13&lt;=$B$6,L13/M13,0)</f>
        <v>2000.9353505127049</v>
      </c>
    </row>
    <row r="14" spans="1:16">
      <c r="A14" s="1">
        <v>48395</v>
      </c>
      <c r="B14" s="1">
        <v>48213</v>
      </c>
      <c r="C14">
        <v>5</v>
      </c>
      <c r="D14">
        <v>2183.88827467541</v>
      </c>
      <c r="E14">
        <v>1946.225348847213</v>
      </c>
      <c r="F14">
        <v>2183.88827467541</v>
      </c>
      <c r="G14">
        <v>0</v>
      </c>
      <c r="H14">
        <v>0</v>
      </c>
      <c r="I14">
        <f>F14+G14-H14</f>
        <v>2183.88827467541</v>
      </c>
      <c r="J14">
        <f>I14-D14</f>
        <v>0.0</v>
      </c>
      <c r="K14">
        <v>25471.80446610792</v>
      </c>
      <c r="L14">
        <f>I14</f>
        <v>2183.88827467541</v>
      </c>
      <c r="M14">
        <f>(1+$B$2)^((A14-$B$3)/365)</f>
        <v>1.0740500375671378</v>
      </c>
      <c r="N14">
        <f>IF(A14&lt;=$B$4,L14/M14,0)</f>
        <v>2033.3207935285764</v>
      </c>
      <c r="O14">
        <f>IF(A14&lt;=$B$5,L14/M14,0)</f>
        <v>2033.3207935285764</v>
      </c>
      <c r="P14">
        <f>IF(A14&lt;=$B$6,L14/M14,0)</f>
        <v>2033.3207935285764</v>
      </c>
    </row>
    <row r="15" spans="1:16">
      <c r="A15" s="1">
        <v>48579</v>
      </c>
      <c r="B15" s="1">
        <v>48395</v>
      </c>
      <c r="C15">
        <v>6</v>
      </c>
      <c r="D15">
        <v>2067.315020857119</v>
      </c>
      <c r="E15">
        <v>1957.93532533949</v>
      </c>
      <c r="F15">
        <v>2207.88704692459</v>
      </c>
      <c r="G15">
        <v>0</v>
      </c>
      <c r="H15">
        <v>140.5720260674709</v>
      </c>
      <c r="I15">
        <f>F15+G15-H15</f>
        <v>2067.3150208571187</v>
      </c>
      <c r="J15">
        <f>I15-D15</f>
        <v>0.0</v>
      </c>
      <c r="K15">
        <v>24558.20768291785</v>
      </c>
      <c r="L15">
        <f>I15</f>
        <v>2067.3150208571187</v>
      </c>
      <c r="M15">
        <f>(1+$B$2)^((A15-$B$3)/365)</f>
        <v>1.1034338496001956</v>
      </c>
      <c r="N15">
        <f>IF(A15&lt;=$B$4,L15/M15,0)</f>
        <v>1873.5287317913653</v>
      </c>
      <c r="O15">
        <f>IF(A15&lt;=$B$5,L15/M15,0)</f>
        <v>1873.5287317913653</v>
      </c>
      <c r="P15">
        <f>IF(A15&lt;=$B$6,L15/M15,0)</f>
        <v>1873.5287317913653</v>
      </c>
    </row>
    <row r="16" spans="1:16">
      <c r="A16" s="1">
        <v>48760</v>
      </c>
      <c r="B16" s="1">
        <v>48579</v>
      </c>
      <c r="C16">
        <v>7</v>
      </c>
      <c r="D16">
        <v>2211.726265167936</v>
      </c>
      <c r="E16">
        <v>1970.9485120758</v>
      </c>
      <c r="F16">
        <v>2211.726265167936</v>
      </c>
      <c r="G16">
        <v>0</v>
      </c>
      <c r="H16">
        <v>0</v>
      </c>
      <c r="I16">
        <f>F16+G16-H16</f>
        <v>2211.726265167936</v>
      </c>
      <c r="J16">
        <f>I16-D16</f>
        <v>0.0</v>
      </c>
      <c r="K16">
        <v>23616.95341666586</v>
      </c>
      <c r="L16">
        <f>I16</f>
        <v>2211.726265167936</v>
      </c>
      <c r="M16">
        <f>(1+$B$2)^((A16-$B$3)/365)</f>
        <v>1.1331227896333305</v>
      </c>
      <c r="N16">
        <f>IF(A16&lt;=$B$4,L16/M16,0)</f>
        <v>1951.8857844908698</v>
      </c>
      <c r="O16">
        <f>IF(A16&lt;=$B$5,L16/M16,0)</f>
        <v>1951.8857844908698</v>
      </c>
      <c r="P16">
        <f>IF(A16&lt;=$B$6,L16/M16,0)</f>
        <v>1951.8857844908698</v>
      </c>
    </row>
    <row r="17" spans="1:16">
      <c r="A17" s="1">
        <v>48944</v>
      </c>
      <c r="B17" s="1">
        <v>48760</v>
      </c>
      <c r="C17">
        <v>8</v>
      </c>
      <c r="D17">
        <v>2063.363405566157</v>
      </c>
      <c r="E17">
        <v>1939.986729854343</v>
      </c>
      <c r="F17">
        <v>2248.384711551936</v>
      </c>
      <c r="G17">
        <v>0</v>
      </c>
      <c r="H17">
        <v>185.0213059857783</v>
      </c>
      <c r="I17">
        <f>F17+G17-H17</f>
        <v>2063.3634055661573</v>
      </c>
      <c r="J17">
        <f>I17-D17</f>
        <v>0.0</v>
      </c>
      <c r="K17">
        <v>22627.57068788855</v>
      </c>
      <c r="L17">
        <f>I17</f>
        <v>2063.3634055661573</v>
      </c>
      <c r="M17">
        <f>(1+$B$2)^((A17-$B$3)/365)</f>
        <v>1.1641227113282064</v>
      </c>
      <c r="N17">
        <f>IF(A17&lt;=$B$4,L17/M17,0)</f>
        <v>1772.4621171697283</v>
      </c>
      <c r="O17">
        <f>IF(A17&lt;=$B$5,L17/M17,0)</f>
        <v>1772.4621171697283</v>
      </c>
      <c r="P17">
        <f>IF(A17&lt;=$B$6,L17/M17,0)</f>
        <v>1772.4621171697283</v>
      </c>
    </row>
    <row r="18" spans="1:16">
      <c r="A18" s="1">
        <v>49125</v>
      </c>
      <c r="B18" s="1">
        <v>48944</v>
      </c>
      <c r="C18">
        <v>9</v>
      </c>
      <c r="D18">
        <v>2246.137058145137</v>
      </c>
      <c r="E18">
        <v>2001.526123223774</v>
      </c>
      <c r="F18">
        <v>2246.137058145137</v>
      </c>
      <c r="G18">
        <v>0</v>
      </c>
      <c r="H18">
        <v>0</v>
      </c>
      <c r="I18">
        <f>F18+G18-H18</f>
        <v>2246.1370581451365</v>
      </c>
      <c r="J18">
        <f>I18-D18</f>
        <v>0.0</v>
      </c>
      <c r="K18">
        <v>21647.00123345835</v>
      </c>
      <c r="L18">
        <f>I18</f>
        <v>2246.1370581451365</v>
      </c>
      <c r="M18">
        <f>(1+$B$2)^((A18-$B$3)/365)</f>
        <v>1.1954445430631635</v>
      </c>
      <c r="N18">
        <f>IF(A18&lt;=$B$4,L18/M18,0)</f>
        <v>1878.9136402678428</v>
      </c>
      <c r="O18">
        <f>IF(A18&lt;=$B$5,L18/M18,0)</f>
        <v>1878.9136402678428</v>
      </c>
      <c r="P18">
        <f>IF(A18&lt;=$B$6,L18/M18,0)</f>
        <v>1878.9136402678428</v>
      </c>
    </row>
    <row r="19" spans="1:16">
      <c r="A19" s="1">
        <v>49309</v>
      </c>
      <c r="B19" s="1">
        <v>49125</v>
      </c>
      <c r="C19">
        <v>10</v>
      </c>
      <c r="D19">
        <v>2052.966002972444</v>
      </c>
      <c r="E19">
        <v>1927.625170583297</v>
      </c>
      <c r="F19">
        <v>2283.365849164117</v>
      </c>
      <c r="G19">
        <v>0</v>
      </c>
      <c r="H19">
        <v>230.3998461916737</v>
      </c>
      <c r="I19">
        <f>F19+G19-H19</f>
        <v>2052.9660029724437</v>
      </c>
      <c r="J19">
        <f>I19-D19</f>
        <v>0.0</v>
      </c>
      <c r="K19">
        <v>20577.66251210264</v>
      </c>
      <c r="L19">
        <f>I19</f>
        <v>2052.9660029724437</v>
      </c>
      <c r="M19">
        <f>(1+$B$2)^((A19-$B$3)/365)</f>
        <v>1.2281494604512577</v>
      </c>
      <c r="N19">
        <f>IF(A19&lt;=$B$4,L19/M19,0)</f>
        <v>1671.592969000796</v>
      </c>
      <c r="O19">
        <f>IF(A19&lt;=$B$5,L19/M19,0)</f>
        <v>1671.592969000796</v>
      </c>
      <c r="P19">
        <f>IF(A19&lt;=$B$6,L19/M19,0)</f>
        <v>1671.592969000796</v>
      </c>
    </row>
    <row r="20" spans="1:16">
      <c r="A20" s="1">
        <v>49490</v>
      </c>
      <c r="B20" s="1">
        <v>49309</v>
      </c>
      <c r="C20">
        <v>11</v>
      </c>
      <c r="D20">
        <v>2281.079673163247</v>
      </c>
      <c r="E20">
        <v>2032.574532157936</v>
      </c>
      <c r="F20">
        <v>2281.079673163247</v>
      </c>
      <c r="G20">
        <v>0</v>
      </c>
      <c r="H20">
        <v>0</v>
      </c>
      <c r="I20">
        <f>F20+G20-H20</f>
        <v>2281.079673163247</v>
      </c>
      <c r="J20">
        <f>I20-D20</f>
        <v>0.0</v>
      </c>
      <c r="K20">
        <v>19549.76916056789</v>
      </c>
      <c r="L20">
        <f>I20</f>
        <v>2281.079673163247</v>
      </c>
      <c r="M20">
        <f>(1+$B$2)^((A20-$B$3)/365)</f>
        <v>1.2611939929316374</v>
      </c>
      <c r="N20">
        <f>IF(A20&lt;=$B$4,L20/M20,0)</f>
        <v>1808.6667760452078</v>
      </c>
      <c r="O20">
        <f>IF(A20&lt;=$B$5,L20/M20,0)</f>
        <v>1808.6667760452078</v>
      </c>
      <c r="P20">
        <f>IF(A20&lt;=$B$6,L20/M20,0)</f>
        <v>1808.6667760452078</v>
      </c>
    </row>
    <row r="21" spans="1:16">
      <c r="A21" s="1">
        <v>49674</v>
      </c>
      <c r="B21" s="1">
        <v>49490</v>
      </c>
      <c r="C21">
        <v>12</v>
      </c>
      <c r="D21">
        <v>2040.633341823833</v>
      </c>
      <c r="E21">
        <v>1913.296130641215</v>
      </c>
      <c r="F21">
        <v>2318.887623547169</v>
      </c>
      <c r="G21">
        <v>0</v>
      </c>
      <c r="H21">
        <v>278.2542817233363</v>
      </c>
      <c r="I21">
        <f>F21+G21-H21</f>
        <v>2040.6333418238326</v>
      </c>
      <c r="J21">
        <f>I21-D21</f>
        <v>0.0</v>
      </c>
      <c r="K21">
        <v>18396.56247264031</v>
      </c>
      <c r="L21">
        <f>I21</f>
        <v>2040.6333418238326</v>
      </c>
      <c r="M21">
        <f>(1+$B$2)^((A21-$B$3)/365)</f>
        <v>1.2956976807760767</v>
      </c>
      <c r="N21">
        <f>IF(A21&lt;=$B$4,L21/M21,0)</f>
        <v>1574.9301492934417</v>
      </c>
      <c r="O21">
        <f>IF(A21&lt;=$B$5,L21/M21,0)</f>
        <v>1574.9301492934417</v>
      </c>
      <c r="P21">
        <f>IF(A21&lt;=$B$6,L21/M21,0)</f>
        <v>1574.9301492934417</v>
      </c>
    </row>
    <row r="22" spans="1:16">
      <c r="A22" s="1">
        <v>49856</v>
      </c>
      <c r="B22" s="1">
        <v>49674</v>
      </c>
      <c r="C22">
        <v>13</v>
      </c>
      <c r="D22">
        <v>2322.996569213331</v>
      </c>
      <c r="E22">
        <v>2069.83400837142</v>
      </c>
      <c r="F22">
        <v>2322.996569213331</v>
      </c>
      <c r="G22">
        <v>0</v>
      </c>
      <c r="H22">
        <v>0</v>
      </c>
      <c r="I22">
        <f>F22+G22-H22</f>
        <v>2322.9965692133305</v>
      </c>
      <c r="J22">
        <f>I22-D22</f>
        <v>0.0</v>
      </c>
      <c r="K22">
        <v>17319.29684217019</v>
      </c>
      <c r="L22">
        <f>I22</f>
        <v>2322.9965692133305</v>
      </c>
      <c r="M22">
        <f>(1+$B$2)^((A22-$B$3)/365)</f>
        <v>1.330754852707162</v>
      </c>
      <c r="N22">
        <f>IF(A22&lt;=$B$4,L22/M22,0)</f>
        <v>1745.6232186474058</v>
      </c>
      <c r="O22">
        <f>IF(A22&lt;=$B$5,L22/M22,0)</f>
        <v>1745.6232186474058</v>
      </c>
      <c r="P22">
        <f>IF(A22&lt;=$B$6,L22/M22,0)</f>
        <v>1745.6232186474058</v>
      </c>
    </row>
    <row r="23" spans="1:16">
      <c r="A23" s="1">
        <v>50040</v>
      </c>
      <c r="B23" s="1">
        <v>49856</v>
      </c>
      <c r="C23">
        <v>14</v>
      </c>
      <c r="D23">
        <v>1871.713930924337</v>
      </c>
      <c r="E23">
        <v>1743.052649982809</v>
      </c>
      <c r="F23">
        <v>2348.524004039851</v>
      </c>
      <c r="G23">
        <v>0</v>
      </c>
      <c r="H23">
        <v>476.8100731155137</v>
      </c>
      <c r="I23">
        <f>F23+G23-H23</f>
        <v>1871.713930924337</v>
      </c>
      <c r="J23">
        <f>I23-D23</f>
        <v>0.0</v>
      </c>
      <c r="K23">
        <v>16076.00783905546</v>
      </c>
      <c r="L23">
        <f>I23</f>
        <v>1871.713930924337</v>
      </c>
      <c r="M23">
        <f>(1+$B$2)^((A23-$B$3)/365)</f>
        <v>1.3671615833866742</v>
      </c>
      <c r="N23">
        <f>IF(A23&lt;=$B$4,L23/M23,0)</f>
        <v>1369.0509985570304</v>
      </c>
      <c r="O23">
        <f>IF(A23&lt;=$B$5,L23/M23,0)</f>
        <v>1369.0509985570304</v>
      </c>
      <c r="P23">
        <f>IF(A23&lt;=$B$6,L23/M23,0)</f>
        <v>1369.0509985570304</v>
      </c>
    </row>
    <row r="24" spans="1:16">
      <c r="A24" s="1">
        <v>50221</v>
      </c>
      <c r="B24" s="1">
        <v>50040</v>
      </c>
      <c r="C24">
        <v>15</v>
      </c>
      <c r="D24">
        <v>2352.593079222681</v>
      </c>
      <c r="E24">
        <v>2096.112551794391</v>
      </c>
      <c r="F24">
        <v>2352.593079222681</v>
      </c>
      <c r="G24">
        <v>0</v>
      </c>
      <c r="H24">
        <v>0</v>
      </c>
      <c r="I24">
        <f>F24+G24-H24</f>
        <v>2352.593079222681</v>
      </c>
      <c r="J24">
        <f>I24-D24</f>
        <v>0.0</v>
      </c>
      <c r="K24">
        <v>15075.37840665659</v>
      </c>
      <c r="L24">
        <f>I24</f>
        <v>2352.593079222681</v>
      </c>
      <c r="M24">
        <f>(1+$B$2)^((A24-$B$3)/365)</f>
        <v>1.4039463696060557</v>
      </c>
      <c r="N24">
        <f>IF(A24&lt;=$B$4,L24/M24,0)</f>
        <v>1675.7001051847967</v>
      </c>
      <c r="O24">
        <f>IF(A24&lt;=$B$5,L24/M24,0)</f>
        <v>1675.7001051847967</v>
      </c>
      <c r="P24">
        <f>IF(A24&lt;=$B$6,L24/M24,0)</f>
        <v>1675.7001051847967</v>
      </c>
    </row>
    <row r="25" spans="1:16">
      <c r="A25" s="1">
        <v>50405</v>
      </c>
      <c r="B25" s="1">
        <v>50221</v>
      </c>
      <c r="C25">
        <v>16</v>
      </c>
      <c r="D25">
        <v>1864.058141012531</v>
      </c>
      <c r="E25">
        <v>1732.635223186704</v>
      </c>
      <c r="F25">
        <v>2391.586334679411</v>
      </c>
      <c r="G25">
        <v>0</v>
      </c>
      <c r="H25">
        <v>527.52819366688</v>
      </c>
      <c r="I25">
        <f>F25+G25-H25</f>
        <v>1864.0581410125308</v>
      </c>
      <c r="J25">
        <f>I25-D25</f>
        <v>0.0</v>
      </c>
      <c r="K25">
        <v>13745.49403582312</v>
      </c>
      <c r="L25">
        <f>I25</f>
        <v>1864.0581410125308</v>
      </c>
      <c r="M25">
        <f>(1+$B$2)^((A25-$B$3)/365)</f>
        <v>1.442355470472941</v>
      </c>
      <c r="N25">
        <f>IF(A25&lt;=$B$4,L25/M25,0)</f>
        <v>1292.3708331076773</v>
      </c>
      <c r="O25">
        <f>IF(A25&lt;=$B$5,L25/M25,0)</f>
        <v>1292.3708331076773</v>
      </c>
      <c r="P25">
        <f>IF(A25&lt;=$B$6,L25/M25,0)</f>
        <v>1292.3708331076773</v>
      </c>
    </row>
    <row r="26" spans="1:16">
      <c r="A26" s="1">
        <v>50586</v>
      </c>
      <c r="B26" s="1">
        <v>50405</v>
      </c>
      <c r="C26">
        <v>17</v>
      </c>
      <c r="D26">
        <v>2389.18053528806</v>
      </c>
      <c r="E26">
        <v>2128.616837863112</v>
      </c>
      <c r="F26">
        <v>2389.18053528806</v>
      </c>
      <c r="G26">
        <v>0</v>
      </c>
      <c r="H26">
        <v>0</v>
      </c>
      <c r="I26">
        <f>F26+G26-H26</f>
        <v>2389.18053528806</v>
      </c>
      <c r="J26">
        <f>I26-D26</f>
        <v>0.0</v>
      </c>
      <c r="K26">
        <v>12688.03245995444</v>
      </c>
      <c r="L26">
        <f>I26</f>
        <v>2389.18053528806</v>
      </c>
      <c r="M26">
        <f>(1+$B$2)^((A26-$B$3)/365)</f>
        <v>1.4811634199343888</v>
      </c>
      <c r="N26">
        <f>IF(A26&lt;=$B$4,L26/M26,0)</f>
        <v>1613.0431680481913</v>
      </c>
      <c r="O26">
        <f>IF(A26&lt;=$B$5,L26/M26,0)</f>
        <v>1613.0431680481913</v>
      </c>
      <c r="P26">
        <f>IF(A26&lt;=$B$6,L26/M26,0)</f>
        <v>1613.0431680481913</v>
      </c>
    </row>
    <row r="27" spans="1:16">
      <c r="A27" s="1">
        <v>50770</v>
      </c>
      <c r="B27" s="1">
        <v>50586</v>
      </c>
      <c r="C27">
        <v>18</v>
      </c>
      <c r="D27">
        <v>1848.864000513329</v>
      </c>
      <c r="E27">
        <v>1715.348829835715</v>
      </c>
      <c r="F27">
        <v>2428.780212668526</v>
      </c>
      <c r="G27">
        <v>0</v>
      </c>
      <c r="H27">
        <v>579.9162121551963</v>
      </c>
      <c r="I27">
        <f>F27+G27-H27</f>
        <v>1848.8640005133293</v>
      </c>
      <c r="J27">
        <f>I27-D27</f>
        <v>0.0</v>
      </c>
      <c r="K27">
        <v>11265.04443712087</v>
      </c>
      <c r="L27">
        <f>I27</f>
        <v>1848.8640005133293</v>
      </c>
      <c r="M27">
        <f>(1+$B$2)^((A27-$B$3)/365)</f>
        <v>1.5216850213489528</v>
      </c>
      <c r="N27">
        <f>IF(A27&lt;=$B$4,L27/M27,0)</f>
        <v>1215.0109743962234</v>
      </c>
      <c r="O27">
        <f>IF(A27&lt;=$B$5,L27/M27,0)</f>
        <v>1215.0109743962234</v>
      </c>
      <c r="P27">
        <f>IF(A27&lt;=$B$6,L27/M27,0)</f>
        <v>1215.0109743962234</v>
      </c>
    </row>
    <row r="28" spans="1:16">
      <c r="A28" s="1">
        <v>50951</v>
      </c>
      <c r="B28" s="1">
        <v>50770</v>
      </c>
      <c r="C28">
        <v>19</v>
      </c>
      <c r="D28">
        <v>2426.333147138884</v>
      </c>
      <c r="E28">
        <v>2161.62127565093</v>
      </c>
      <c r="F28">
        <v>2426.333147138884</v>
      </c>
      <c r="G28">
        <v>0</v>
      </c>
      <c r="H28">
        <v>0</v>
      </c>
      <c r="I28">
        <f>F28+G28-H28</f>
        <v>2426.3331471388838</v>
      </c>
      <c r="J28">
        <f>I28-D28</f>
        <v>0.0</v>
      </c>
      <c r="K28">
        <v>10152.25999479095</v>
      </c>
      <c r="L28">
        <f>I28</f>
        <v>2426.3331471388838</v>
      </c>
      <c r="M28">
        <f>(1+$B$2)^((A28-$B$3)/365)</f>
        <v>1.56262740803078</v>
      </c>
      <c r="N28">
        <f>IF(A28&lt;=$B$4,L28/M28,0)</f>
        <v>1552.7266030720298</v>
      </c>
      <c r="O28">
        <f>IF(A28&lt;=$B$5,L28/M28,0)</f>
        <v>1552.7266030720298</v>
      </c>
      <c r="P28">
        <f>IF(A28&lt;=$B$6,L28/M28,0)</f>
        <v>1552.7266030720298</v>
      </c>
    </row>
    <row r="29" spans="1:16">
      <c r="A29" s="1">
        <v>51135</v>
      </c>
      <c r="B29" s="1">
        <v>50951</v>
      </c>
      <c r="C29">
        <v>20</v>
      </c>
      <c r="D29">
        <v>1831.864060794645</v>
      </c>
      <c r="E29">
        <v>1696.222313723155</v>
      </c>
      <c r="F29">
        <v>2466.548613666048</v>
      </c>
      <c r="G29">
        <v>0</v>
      </c>
      <c r="H29">
        <v>634.6845528714024</v>
      </c>
      <c r="I29">
        <f>F29+G29-H29</f>
        <v>1831.8640607946454</v>
      </c>
      <c r="J29">
        <f>I29-D29</f>
        <v>0.0</v>
      </c>
      <c r="K29">
        <v>8631.647121326681</v>
      </c>
      <c r="L29">
        <f>I29</f>
        <v>1831.8640607946454</v>
      </c>
      <c r="M29">
        <f>(1+$B$2)^((A29-$B$3)/365)</f>
        <v>1.605377697523145</v>
      </c>
      <c r="N29">
        <f>IF(A29&lt;=$B$4,L29/M29,0)</f>
        <v>1141.0797992403498</v>
      </c>
      <c r="O29">
        <f>IF(A29&lt;=$B$5,L29/M29,0)</f>
        <v>1141.0797992403498</v>
      </c>
      <c r="P29">
        <f>IF(A29&lt;=$B$6,L29/M29,0)</f>
        <v>1141.0797992403498</v>
      </c>
    </row>
    <row r="30" spans="1:16">
      <c r="A30" s="1">
        <v>51317</v>
      </c>
      <c r="B30" s="1">
        <v>51135</v>
      </c>
      <c r="C30">
        <v>21</v>
      </c>
      <c r="D30">
        <v>2470.903555703116</v>
      </c>
      <c r="E30">
        <v>2201.230521978182</v>
      </c>
      <c r="F30">
        <v>2470.903555703116</v>
      </c>
      <c r="G30">
        <v>0</v>
      </c>
      <c r="H30">
        <v>0</v>
      </c>
      <c r="I30">
        <f>F30+G30-H30</f>
        <v>2470.9035557031157</v>
      </c>
      <c r="J30">
        <f>I30-D30</f>
        <v>0.0</v>
      </c>
      <c r="K30">
        <v>7460.773717972776</v>
      </c>
      <c r="L30">
        <f>I30</f>
        <v>2470.9035557031157</v>
      </c>
      <c r="M30">
        <f>(1+$B$2)^((A30-$B$3)/365)</f>
        <v>1.648813757332011</v>
      </c>
      <c r="N30">
        <f>IF(A30&lt;=$B$4,L30/M30,0)</f>
        <v>1498.5946985918833</v>
      </c>
      <c r="O30">
        <f>IF(A30&lt;=$B$5,L30/M30,0)</f>
        <v>1498.5946985918833</v>
      </c>
      <c r="P30">
        <f>IF(A30&lt;=$B$6,L30/M30,0)</f>
        <v>1498.5946985918833</v>
      </c>
    </row>
    <row r="31" spans="1:16">
      <c r="A31" s="1">
        <v>51501</v>
      </c>
      <c r="B31" s="1">
        <v>51317</v>
      </c>
      <c r="C31">
        <v>22</v>
      </c>
      <c r="D31">
        <v>1806.349507496014</v>
      </c>
      <c r="E31">
        <v>1669.297338964253</v>
      </c>
      <c r="F31">
        <v>2498.056342029524</v>
      </c>
      <c r="G31">
        <v>0</v>
      </c>
      <c r="H31">
        <v>691.7068345335101</v>
      </c>
      <c r="I31">
        <f>F31+G31-H31</f>
        <v>1806.3495074960138</v>
      </c>
      <c r="J31">
        <f>I31-D31</f>
        <v>0.0</v>
      </c>
      <c r="K31">
        <v>5833.865907760146</v>
      </c>
      <c r="L31">
        <f>I31</f>
        <v>1806.3495074960138</v>
      </c>
      <c r="M31">
        <f>(1+$B$2)^((A31-$B$3)/365)</f>
        <v>1.69392192904504</v>
      </c>
      <c r="N31">
        <f>IF(A31&lt;=$B$4,L31/M31,0)</f>
        <v>1066.371168896996</v>
      </c>
      <c r="O31">
        <f>IF(A31&lt;=$B$5,L31/M31,0)</f>
        <v>1066.371168896996</v>
      </c>
      <c r="P31">
        <f>IF(A31&lt;=$B$6,L31/M31,0)</f>
        <v>1066.371168896996</v>
      </c>
    </row>
    <row r="32" spans="1:16">
      <c r="A32" s="1">
        <v>51682</v>
      </c>
      <c r="B32" s="1">
        <v>51501</v>
      </c>
      <c r="C32">
        <v>23</v>
      </c>
      <c r="D32">
        <v>2502.368572792584</v>
      </c>
      <c r="E32">
        <v>2229.161185045589</v>
      </c>
      <c r="F32">
        <v>2502.368572792584</v>
      </c>
      <c r="G32">
        <v>0</v>
      </c>
      <c r="H32">
        <v>0</v>
      </c>
      <c r="I32">
        <f>F32+G32-H32</f>
        <v>2502.3685727925845</v>
      </c>
      <c r="J32">
        <f>I32-D32</f>
        <v>0.0</v>
      </c>
      <c r="K32">
        <v>4606.781245099653</v>
      </c>
      <c r="L32">
        <f>I32</f>
        <v>2502.3685727925845</v>
      </c>
      <c r="M32">
        <f>(1+$B$2)^((A32-$B$3)/365)</f>
        <v>1.7394985139852714</v>
      </c>
      <c r="N32">
        <f>IF(A32&lt;=$B$4,L32/M32,0)</f>
        <v>1438.5574650820151</v>
      </c>
      <c r="O32">
        <f>IF(A32&lt;=$B$5,L32/M32,0)</f>
        <v>1438.5574650820151</v>
      </c>
      <c r="P32">
        <f>IF(A32&lt;=$B$6,L32/M32,0)</f>
        <v>1438.5574650820151</v>
      </c>
    </row>
    <row r="33" spans="1:16">
      <c r="A33" s="1">
        <v>51866</v>
      </c>
      <c r="B33" s="1">
        <v>51682</v>
      </c>
      <c r="C33">
        <v>24</v>
      </c>
      <c r="D33">
        <v>2199.695544382573</v>
      </c>
      <c r="E33">
        <v>2018.933320005787</v>
      </c>
      <c r="F33">
        <v>3088.424073408117</v>
      </c>
      <c r="G33">
        <v>0</v>
      </c>
      <c r="H33">
        <v>888.7285290255442</v>
      </c>
      <c r="I33">
        <f>F33+G33-H33</f>
        <v>2199.695544382573</v>
      </c>
      <c r="J33">
        <f>I33-D33</f>
        <v>0.0</v>
      </c>
      <c r="K33">
        <v>2876.537222269904</v>
      </c>
      <c r="L33">
        <f>I33</f>
        <v>2199.695544382573</v>
      </c>
      <c r="M33">
        <f>(1+$B$2)^((A33-$B$3)/365)</f>
        <v>1.7870876351425171</v>
      </c>
      <c r="N33">
        <f>IF(A33&lt;=$B$4,L33/M33,0)</f>
        <v>1230.8828627797827</v>
      </c>
      <c r="O33">
        <f>IF(A33&lt;=$B$5,L33/M33,0)</f>
        <v>1230.8828627797827</v>
      </c>
      <c r="P33">
        <f>IF(A33&lt;=$B$6,L33/M33,0)</f>
        <v>1230.8828627797827</v>
      </c>
    </row>
    <row r="34" spans="1:16">
      <c r="A34" s="1">
        <v>52047</v>
      </c>
      <c r="B34" s="1">
        <v>51866</v>
      </c>
      <c r="C34">
        <v>25</v>
      </c>
      <c r="D34">
        <v>3085.498199220374</v>
      </c>
      <c r="E34">
        <v>2753.518438221245</v>
      </c>
      <c r="F34">
        <v>3085.498199220374</v>
      </c>
      <c r="G34">
        <v>0</v>
      </c>
      <c r="H34">
        <v>0</v>
      </c>
      <c r="I34">
        <f>F34+G34-H34</f>
        <v>3085.498199220374</v>
      </c>
      <c r="J34">
        <f>I34-D34</f>
        <v>0.0</v>
      </c>
      <c r="K34">
        <v>1274.955447517944</v>
      </c>
      <c r="L34">
        <f>I34</f>
        <v>3085.498199220374</v>
      </c>
      <c r="M34">
        <f>(1+$B$2)^((A34-$B$3)/365)</f>
        <v>1.8351709322544614</v>
      </c>
      <c r="N34">
        <f>IF(A34&lt;=$B$4,L34/M34,0)</f>
        <v>1681.3137920781674</v>
      </c>
      <c r="O34">
        <f>IF(A34&lt;=$B$5,L34/M34,0)</f>
        <v>1681.3137920781674</v>
      </c>
      <c r="P34">
        <f>IF(A34&lt;=$B$6,L34/M34,0)</f>
        <v>1681.3137920781674</v>
      </c>
    </row>
    <row r="35" spans="1:16">
      <c r="A35" s="1">
        <v>52231</v>
      </c>
      <c r="B35" s="1">
        <v>52047</v>
      </c>
      <c r="C35">
        <v>26</v>
      </c>
      <c r="D35">
        <v>2047.642610947511</v>
      </c>
      <c r="E35">
        <v>1877.533210100989</v>
      </c>
      <c r="F35">
        <v>3136.639053351098</v>
      </c>
      <c r="G35">
        <v>0</v>
      </c>
      <c r="H35">
        <v>1088.996442403587</v>
      </c>
      <c r="I35">
        <f>F35+G35-H35</f>
        <v>2047.6426109475105</v>
      </c>
      <c r="J35">
        <f>I35-D35</f>
        <v>0.0</v>
      </c>
      <c r="K35">
        <v>0</v>
      </c>
      <c r="L35">
        <f>I35</f>
        <v>2047.6426109475105</v>
      </c>
      <c r="M35">
        <f>(1+$B$2)^((A35-$B$3)/365)</f>
        <v>1.8853774550753555</v>
      </c>
      <c r="N35">
        <f>IF(A35&lt;=$B$4,L35/M35,0)</f>
        <v>1086.065077014337</v>
      </c>
      <c r="O35">
        <f>IF(A35&lt;=$B$5,L35/M35,0)</f>
        <v>0</v>
      </c>
      <c r="P35">
        <f>IF(A35&lt;=$B$6,L35/M35,0)</f>
        <v>1086.065077014337</v>
      </c>
    </row>
    <row r="36" spans="1:16">
      <c r="A36" s="1">
        <v>52412</v>
      </c>
      <c r="B36" s="1">
        <v>52231</v>
      </c>
      <c r="C36">
        <v>27</v>
      </c>
      <c r="D36">
        <v>3133.663388956016</v>
      </c>
      <c r="E36">
        <v>2796.398510161781</v>
      </c>
      <c r="F36">
        <v>3133.663388956016</v>
      </c>
      <c r="G36">
        <v>0</v>
      </c>
      <c r="H36">
        <v>0</v>
      </c>
      <c r="I36">
        <f>F36+G36-H36</f>
        <v>3133.663388956016</v>
      </c>
      <c r="J36">
        <f>I36-D36</f>
        <v>0.0</v>
      </c>
      <c r="K36">
        <v>0</v>
      </c>
      <c r="L36">
        <f>I36</f>
        <v>3133.663388956016</v>
      </c>
      <c r="M36">
        <f>(1+$B$2)^((A36-$B$3)/365)</f>
        <v>1.9361053335284566</v>
      </c>
      <c r="N36">
        <f>IF(A36&lt;=$B$4,L36/M36,0)</f>
        <v>1618.5397223430343</v>
      </c>
      <c r="O36">
        <f>IF(A36&lt;=$B$5,L36/M36,0)</f>
        <v>0</v>
      </c>
      <c r="P36">
        <f>IF(A36&lt;=$B$6,L36/M36,0)</f>
        <v>1618.5397223430343</v>
      </c>
    </row>
    <row r="37" spans="1:16">
      <c r="A37" s="1">
        <v>52596</v>
      </c>
      <c r="B37" s="1">
        <v>52412</v>
      </c>
      <c r="C37">
        <v>28</v>
      </c>
      <c r="D37">
        <v>2063.566176216467</v>
      </c>
      <c r="E37">
        <v>1890.747340671397</v>
      </c>
      <c r="F37">
        <v>3185.602561148658</v>
      </c>
      <c r="G37">
        <v>0</v>
      </c>
      <c r="H37">
        <v>1122.036384932191</v>
      </c>
      <c r="I37">
        <f>F37+G37-H37</f>
        <v>2063.5661762164673</v>
      </c>
      <c r="J37">
        <f>I37-D37</f>
        <v>0.0</v>
      </c>
      <c r="K37">
        <v>0</v>
      </c>
      <c r="L37">
        <f>I37</f>
        <v>2063.5661762164673</v>
      </c>
      <c r="M37">
        <f>(1+$B$2)^((A37-$B$3)/365)</f>
        <v>1.9890732151044999</v>
      </c>
      <c r="N37">
        <f>IF(A37&lt;=$B$4,L37/M37,0)</f>
        <v>1037.4510905613165</v>
      </c>
      <c r="O37">
        <f>IF(A37&lt;=$B$5,L37/M37,0)</f>
        <v>0</v>
      </c>
      <c r="P37">
        <f>IF(A37&lt;=$B$6,L37/M37,0)</f>
        <v>1037.4510905613165</v>
      </c>
    </row>
    <row r="38" spans="1:16">
      <c r="A38" s="1">
        <v>52778</v>
      </c>
      <c r="B38" s="1">
        <v>52596</v>
      </c>
      <c r="C38">
        <v>29</v>
      </c>
      <c r="D38">
        <v>3191.41593856632</v>
      </c>
      <c r="E38">
        <v>2847.830127616195</v>
      </c>
      <c r="F38">
        <v>3191.41593856632</v>
      </c>
      <c r="G38">
        <v>0</v>
      </c>
      <c r="H38">
        <v>0</v>
      </c>
      <c r="I38">
        <f>F38+G38-H38</f>
        <v>3191.41593856632</v>
      </c>
      <c r="J38">
        <f>I38-D38</f>
        <v>0.0</v>
      </c>
      <c r="K38">
        <v>0</v>
      </c>
      <c r="L38">
        <f>I38</f>
        <v>3191.41593856632</v>
      </c>
      <c r="M38">
        <f>(1+$B$2)^((A38-$B$3)/365)</f>
        <v>2.0428907704802786</v>
      </c>
      <c r="N38">
        <f>IF(A38&lt;=$B$4,L38/M38,0)</f>
        <v>1562.2058627324584</v>
      </c>
      <c r="O38">
        <f>IF(A38&lt;=$B$5,L38/M38,0)</f>
        <v>0</v>
      </c>
      <c r="P38">
        <f>IF(A38&lt;=$B$6,L38/M38,0)</f>
        <v>1562.2058627324584</v>
      </c>
    </row>
    <row r="39" spans="1:16">
      <c r="A39" s="1">
        <v>52962</v>
      </c>
      <c r="B39" s="1">
        <v>52778</v>
      </c>
      <c r="C39">
        <v>30</v>
      </c>
      <c r="D39">
        <v>2079.772735382367</v>
      </c>
      <c r="E39">
        <v>1905.156905920199</v>
      </c>
      <c r="F39">
        <v>3226.48644338573</v>
      </c>
      <c r="G39">
        <v>0</v>
      </c>
      <c r="H39">
        <v>1146.713708003364</v>
      </c>
      <c r="I39">
        <f>F39+G39-H39</f>
        <v>2079.7727353823666</v>
      </c>
      <c r="J39">
        <f>I39-D39</f>
        <v>0.0</v>
      </c>
      <c r="K39">
        <v>0</v>
      </c>
      <c r="L39">
        <f>I39</f>
        <v>2079.7727353823666</v>
      </c>
      <c r="M39">
        <f>(1+$B$2)^((A39-$B$3)/365)</f>
        <v>2.0987800831791845</v>
      </c>
      <c r="N39">
        <f>IF(A39&lt;=$B$4,L39/M39,0)</f>
        <v>990.9436210353083</v>
      </c>
      <c r="O39">
        <f>IF(A39&lt;=$B$5,L39/M39,0)</f>
        <v>0</v>
      </c>
      <c r="P39">
        <f>IF(A39&lt;=$B$6,L39/M39,0)</f>
        <v>990.9436210353083</v>
      </c>
    </row>
    <row r="40" spans="1:16">
      <c r="A40" s="1">
        <v>53143</v>
      </c>
      <c r="B40" s="1">
        <v>52962</v>
      </c>
      <c r="C40">
        <v>31</v>
      </c>
      <c r="D40">
        <v>3232.248301938821</v>
      </c>
      <c r="E40">
        <v>2884.159430834401</v>
      </c>
      <c r="F40">
        <v>3232.248301938821</v>
      </c>
      <c r="G40">
        <v>0</v>
      </c>
      <c r="H40">
        <v>0</v>
      </c>
      <c r="I40">
        <f>F40+G40-H40</f>
        <v>3232.2483019388214</v>
      </c>
      <c r="J40">
        <f>I40-D40</f>
        <v>0.0</v>
      </c>
      <c r="K40">
        <v>0</v>
      </c>
      <c r="L40">
        <f>I40</f>
        <v>3232.2483019388214</v>
      </c>
      <c r="M40">
        <f>(1+$B$2)^((A40-$B$3)/365)</f>
        <v>2.155249762856694</v>
      </c>
      <c r="N40">
        <f>IF(A40&lt;=$B$4,L40/M40,0)</f>
        <v>1499.709387581424</v>
      </c>
      <c r="O40">
        <f>IF(A40&lt;=$B$5,L40/M40,0)</f>
        <v>0</v>
      </c>
      <c r="P40">
        <f>IF(A40&lt;=$B$6,L40/M40,0)</f>
        <v>1499.709387581424</v>
      </c>
    </row>
    <row r="41" spans="1:16">
      <c r="A41" s="1">
        <v>53327</v>
      </c>
      <c r="B41" s="1">
        <v>53143</v>
      </c>
      <c r="C41">
        <v>32</v>
      </c>
      <c r="D41">
        <v>2114.073439149392</v>
      </c>
      <c r="E41">
        <v>1935.709586103933</v>
      </c>
      <c r="F41">
        <v>3285.821478214051</v>
      </c>
      <c r="G41">
        <v>0</v>
      </c>
      <c r="H41">
        <v>1171.74803906466</v>
      </c>
      <c r="I41">
        <f>F41+G41-H41</f>
        <v>2114.0734391493916</v>
      </c>
      <c r="J41">
        <f>I41-D41</f>
        <v>0.0</v>
      </c>
      <c r="K41">
        <v>0</v>
      </c>
      <c r="L41">
        <f>I41</f>
        <v>2114.0734391493916</v>
      </c>
      <c r="M41">
        <f>(1+$B$2)^((A41-$B$3)/365)</f>
        <v>2.2142129877540393</v>
      </c>
      <c r="N41">
        <f>IF(A41&lt;=$B$4,L41/M41,0)</f>
        <v>954.7742023199751</v>
      </c>
      <c r="O41">
        <f>IF(A41&lt;=$B$5,L41/M41,0)</f>
        <v>0</v>
      </c>
      <c r="P41">
        <f>IF(A41&lt;=$B$6,L41/M41,0)</f>
        <v>954.7742023199751</v>
      </c>
    </row>
    <row r="42" spans="1:16">
      <c r="A42" s="1">
        <v>53508</v>
      </c>
      <c r="B42" s="1">
        <v>53327</v>
      </c>
      <c r="C42">
        <v>33</v>
      </c>
      <c r="D42">
        <v>3282.691242036537</v>
      </c>
      <c r="E42">
        <v>2929.060796104135</v>
      </c>
      <c r="F42">
        <v>3282.691242036537</v>
      </c>
      <c r="G42">
        <v>0</v>
      </c>
      <c r="H42">
        <v>0</v>
      </c>
      <c r="I42">
        <f>F42+G42-H42</f>
        <v>3282.6912420365375</v>
      </c>
      <c r="J42">
        <f>I42-D42</f>
        <v>0.0</v>
      </c>
      <c r="L42">
        <f>I42</f>
        <v>3282.6912420365375</v>
      </c>
      <c r="M42">
        <f>(1+$B$2)^((A42-$B$3)/365)</f>
        <v>2.273788499813812</v>
      </c>
      <c r="N42">
        <f>IF(A42&lt;=$B$4,L42/M42,0)</f>
        <v>0</v>
      </c>
      <c r="O42">
        <f>IF(A42&lt;=$B$5,L42/M42,0)</f>
        <v>0</v>
      </c>
      <c r="P42">
        <f>IF(A42&lt;=$B$6,L42/M42,0)</f>
        <v>1443.7100206573036</v>
      </c>
    </row>
    <row r="43" spans="1:16">
      <c r="A43" s="1">
        <v>53692</v>
      </c>
      <c r="B43" s="1">
        <v>53508</v>
      </c>
      <c r="C43">
        <v>34</v>
      </c>
      <c r="D43">
        <v>2109.949198092427</v>
      </c>
      <c r="E43">
        <v>1928.745792506484</v>
      </c>
      <c r="F43">
        <v>3337.100489142116</v>
      </c>
      <c r="G43">
        <v>0</v>
      </c>
      <c r="H43">
        <v>1227.15129104969</v>
      </c>
      <c r="I43">
        <f>F43+G43-H43</f>
        <v>2109.9491980924267</v>
      </c>
      <c r="J43">
        <f>I43-D43</f>
        <v>0.0</v>
      </c>
      <c r="L43">
        <f>I43</f>
        <v>2109.9491980924267</v>
      </c>
      <c r="M43">
        <f>(1+$B$2)^((A43-$B$3)/365)</f>
        <v>2.3359947020805114</v>
      </c>
      <c r="N43">
        <f>IF(A43&lt;=$B$4,L43/M43,0)</f>
        <v>0</v>
      </c>
      <c r="O43">
        <f>IF(A43&lt;=$B$5,L43/M43,0)</f>
        <v>0</v>
      </c>
      <c r="P43">
        <f>IF(A43&lt;=$B$6,L43/M43,0)</f>
        <v>903.2337257499936</v>
      </c>
    </row>
    <row r="44" spans="1:16">
      <c r="A44" s="1">
        <v>53873</v>
      </c>
      <c r="B44" s="1">
        <v>53692</v>
      </c>
      <c r="C44">
        <v>35</v>
      </c>
      <c r="D44">
        <v>3333.916944683227</v>
      </c>
      <c r="E44">
        <v>2974.65670205158</v>
      </c>
      <c r="F44">
        <v>3333.916944683227</v>
      </c>
      <c r="G44">
        <v>0</v>
      </c>
      <c r="H44">
        <v>0</v>
      </c>
      <c r="I44">
        <f>F44+G44-H44</f>
        <v>3333.916944683227</v>
      </c>
      <c r="J44">
        <f>I44-D44</f>
        <v>0.0</v>
      </c>
      <c r="L44">
        <f>I44</f>
        <v>3333.916944683227</v>
      </c>
      <c r="M44">
        <f>(1+$B$2)^((A44-$B$3)/365)</f>
        <v>2.3988468673035714</v>
      </c>
      <c r="N44">
        <f>IF(A44&lt;=$B$4,L44/M44,0)</f>
        <v>0</v>
      </c>
      <c r="O44">
        <f>IF(A44&lt;=$B$5,L44/M44,0)</f>
        <v>0</v>
      </c>
      <c r="P44">
        <f>IF(A44&lt;=$B$6,L44/M44,0)</f>
        <v>1389.799820123876</v>
      </c>
    </row>
    <row r="45" spans="1:16">
      <c r="A45" s="1">
        <v>54057</v>
      </c>
      <c r="B45" s="1">
        <v>53873</v>
      </c>
      <c r="C45">
        <v>36</v>
      </c>
      <c r="D45">
        <v>2037.155037225842</v>
      </c>
      <c r="E45">
        <v>1853.065496058052</v>
      </c>
      <c r="F45">
        <v>3389.175236584054</v>
      </c>
      <c r="G45">
        <v>0</v>
      </c>
      <c r="H45">
        <v>1352.020199358213</v>
      </c>
      <c r="I45">
        <f>F45+G45-H45</f>
        <v>2037.1550372258416</v>
      </c>
      <c r="J45">
        <f>I45-D45</f>
        <v>0.0</v>
      </c>
      <c r="L45">
        <f>I45</f>
        <v>2037.1550372258416</v>
      </c>
      <c r="M45">
        <f>(1+$B$2)^((A45-$B$3)/365)</f>
        <v>2.4644744106949394</v>
      </c>
      <c r="N45">
        <f>IF(A45&lt;=$B$4,L45/M45,0)</f>
        <v>0</v>
      </c>
      <c r="O45">
        <f>IF(A45&lt;=$B$5,L45/M45,0)</f>
        <v>0</v>
      </c>
      <c r="P45">
        <f>IF(A45&lt;=$B$6,L45/M45,0)</f>
        <v>826.6083138803616</v>
      </c>
    </row>
    <row r="46" spans="1:16">
      <c r="A46" s="1">
        <v>54239</v>
      </c>
      <c r="B46" s="1">
        <v>54057</v>
      </c>
      <c r="C46">
        <v>37</v>
      </c>
      <c r="D46">
        <v>3395.341995667023</v>
      </c>
      <c r="E46">
        <v>3029.348589392302</v>
      </c>
      <c r="F46">
        <v>3395.341995667023</v>
      </c>
      <c r="G46">
        <v>0</v>
      </c>
      <c r="H46">
        <v>0</v>
      </c>
      <c r="I46">
        <f>F46+G46-H46</f>
        <v>3395.341995667023</v>
      </c>
      <c r="J46">
        <f>I46-D46</f>
        <v>0.0</v>
      </c>
      <c r="L46">
        <f>I46</f>
        <v>3395.341995667023</v>
      </c>
      <c r="M46">
        <f>(1+$B$2)^((A46-$B$3)/365)</f>
        <v>2.5311547053480434</v>
      </c>
      <c r="N46">
        <f>IF(A46&lt;=$B$4,L46/M46,0)</f>
        <v>0</v>
      </c>
      <c r="O46">
        <f>IF(A46&lt;=$B$5,L46/M46,0)</f>
        <v>0</v>
      </c>
      <c r="P46">
        <f>IF(A46&lt;=$B$6,L46/M46,0)</f>
        <v>1341.4201781080587</v>
      </c>
    </row>
    <row r="47" spans="1:16">
      <c r="A47" s="1">
        <v>54423</v>
      </c>
      <c r="B47" s="1">
        <v>54239</v>
      </c>
      <c r="C47">
        <v>38</v>
      </c>
      <c r="D47">
        <v>2013.904333225128</v>
      </c>
      <c r="E47">
        <v>1827.900603799813</v>
      </c>
      <c r="F47">
        <v>3432.653446168859</v>
      </c>
      <c r="G47">
        <v>0</v>
      </c>
      <c r="H47">
        <v>1418.749112943731</v>
      </c>
      <c r="I47">
        <f>F47+G47-H47</f>
        <v>2013.9043332251276</v>
      </c>
      <c r="J47">
        <f>I47-D47</f>
        <v>0.0</v>
      </c>
      <c r="L47">
        <f>I47</f>
        <v>2013.9043332251276</v>
      </c>
      <c r="M47">
        <f>(1+$B$2)^((A47-$B$3)/365)</f>
        <v>2.6004019205494933</v>
      </c>
      <c r="N47">
        <f>IF(A47&lt;=$B$4,L47/M47,0)</f>
        <v>0</v>
      </c>
      <c r="O47">
        <f>IF(A47&lt;=$B$5,L47/M47,0)</f>
        <v>0</v>
      </c>
      <c r="P47">
        <f>IF(A47&lt;=$B$6,L47/M47,0)</f>
        <v>774.4588701117278</v>
      </c>
    </row>
    <row r="48" spans="1:16">
      <c r="A48" s="1">
        <v>54604</v>
      </c>
      <c r="B48" s="1">
        <v>54423</v>
      </c>
      <c r="C48">
        <v>39</v>
      </c>
      <c r="D48">
        <v>3438.765044630741</v>
      </c>
      <c r="E48">
        <v>3067.974902658544</v>
      </c>
      <c r="F48">
        <v>3438.765044630741</v>
      </c>
      <c r="G48">
        <v>0</v>
      </c>
      <c r="H48">
        <v>0</v>
      </c>
      <c r="I48">
        <f>F48+G48-H48</f>
        <v>3438.765044630741</v>
      </c>
      <c r="J48">
        <f>I48-D48</f>
        <v>0.0</v>
      </c>
      <c r="L48">
        <f>I48</f>
        <v>3438.765044630741</v>
      </c>
      <c r="M48">
        <f>(1+$B$2)^((A48-$B$3)/365)</f>
        <v>2.6703682141421856</v>
      </c>
      <c r="N48">
        <f>IF(A48&lt;=$B$4,L48/M48,0)</f>
        <v>0</v>
      </c>
      <c r="O48">
        <f>IF(A48&lt;=$B$5,L48/M48,0)</f>
        <v>0</v>
      </c>
      <c r="P48">
        <f>IF(A48&lt;=$B$6,L48/M48,0)</f>
        <v>1287.7493921696455</v>
      </c>
    </row>
    <row r="49" spans="1:16">
      <c r="A49" s="1">
        <v>54788</v>
      </c>
      <c r="B49" s="1">
        <v>54604</v>
      </c>
      <c r="C49">
        <v>40</v>
      </c>
      <c r="D49">
        <v>2050.388836779335</v>
      </c>
      <c r="E49">
        <v>1860.392649358583</v>
      </c>
      <c r="F49">
        <v>3495.761150342853</v>
      </c>
      <c r="G49">
        <v>0</v>
      </c>
      <c r="H49">
        <v>1445.372313563518</v>
      </c>
      <c r="I49">
        <f>F49+G49-H49</f>
        <v>2050.3888367793347</v>
      </c>
      <c r="J49">
        <f>I49-D49</f>
        <v>0.0</v>
      </c>
      <c r="L49">
        <f>I49</f>
        <v>2050.3888367793347</v>
      </c>
      <c r="M49">
        <f>(1+$B$2)^((A49-$B$3)/365)</f>
        <v>2.743424026179715</v>
      </c>
      <c r="N49">
        <f>IF(A49&lt;=$B$4,L49/M49,0)</f>
        <v>0</v>
      </c>
      <c r="O49">
        <f>IF(A49&lt;=$B$5,L49/M49,0)</f>
        <v>0</v>
      </c>
      <c r="P49">
        <f>IF(A49&lt;=$B$6,L49/M49,0)</f>
        <v>747.3831304286387</v>
      </c>
    </row>
    <row r="50" spans="1:16">
      <c r="A50" s="1">
        <v>54969</v>
      </c>
      <c r="B50" s="1">
        <v>54788</v>
      </c>
      <c r="C50">
        <v>41</v>
      </c>
      <c r="D50">
        <v>3492.412107730891</v>
      </c>
      <c r="E50">
        <v>3115.718986698497</v>
      </c>
      <c r="F50">
        <v>3492.412107730891</v>
      </c>
      <c r="G50">
        <v>0</v>
      </c>
      <c r="H50">
        <v>0</v>
      </c>
      <c r="I50">
        <f>F50+G50-H50</f>
        <v>3492.4121077308905</v>
      </c>
      <c r="J50">
        <f>I50-D50</f>
        <v>0.0</v>
      </c>
      <c r="L50">
        <f>I50</f>
        <v>3492.4121077308905</v>
      </c>
      <c r="M50">
        <f>(1+$B$2)^((A50-$B$3)/365)</f>
        <v>2.8172384659200054</v>
      </c>
      <c r="N50">
        <f>IF(A50&lt;=$B$4,L50/M50,0)</f>
        <v>0</v>
      </c>
      <c r="O50">
        <f>IF(A50&lt;=$B$5,L50/M50,0)</f>
        <v>0</v>
      </c>
      <c r="P50">
        <f>IF(A50&lt;=$B$6,L50/M50,0)</f>
        <v>1239.657966472639</v>
      </c>
    </row>
    <row r="51" spans="1:16">
      <c r="A51" s="1">
        <v>55153</v>
      </c>
      <c r="B51" s="1">
        <v>54969</v>
      </c>
      <c r="C51">
        <v>42</v>
      </c>
      <c r="D51">
        <v>2077.878102401488</v>
      </c>
      <c r="E51">
        <v>1884.857175676998</v>
      </c>
      <c r="F51">
        <v>3550.297391284441</v>
      </c>
      <c r="G51">
        <v>0</v>
      </c>
      <c r="H51">
        <v>1472.419288882953</v>
      </c>
      <c r="I51">
        <f>F51+G51-H51</f>
        <v>2077.878102401488</v>
      </c>
      <c r="J51">
        <f>I51-D51</f>
        <v>0.0</v>
      </c>
      <c r="L51">
        <f>I51</f>
        <v>2077.878102401488</v>
      </c>
      <c r="M51">
        <f>(1+$B$2)^((A51-$B$3)/365)</f>
        <v>2.894312347619599</v>
      </c>
      <c r="N51">
        <f>IF(A51&lt;=$B$4,L51/M51,0)</f>
        <v>0</v>
      </c>
      <c r="O51">
        <f>IF(A51&lt;=$B$5,L51/M51,0)</f>
        <v>0</v>
      </c>
      <c r="P51">
        <f>IF(A51&lt;=$B$6,L51/M51,0)</f>
        <v>717.9177133768648</v>
      </c>
    </row>
    <row r="52" spans="1:16">
      <c r="A52" s="1">
        <v>55334</v>
      </c>
      <c r="B52" s="1">
        <v>55153</v>
      </c>
      <c r="C52">
        <v>43</v>
      </c>
      <c r="D52">
        <v>3546.891270547386</v>
      </c>
      <c r="E52">
        <v>3164.201195028158</v>
      </c>
      <c r="F52">
        <v>3546.891270547386</v>
      </c>
      <c r="G52">
        <v>0</v>
      </c>
      <c r="H52">
        <v>0</v>
      </c>
      <c r="I52">
        <f>F52+G52-H52</f>
        <v>3546.8912705473863</v>
      </c>
      <c r="J52">
        <f>I52-D52</f>
        <v>0.0</v>
      </c>
      <c r="L52">
        <f>I52</f>
        <v>3546.8912705473863</v>
      </c>
      <c r="M52">
        <f>(1+$B$2)^((A52-$B$3)/365)</f>
        <v>2.9721865815456057</v>
      </c>
      <c r="N52">
        <f>IF(A52&lt;=$B$4,L52/M52,0)</f>
        <v>0</v>
      </c>
      <c r="O52">
        <f>IF(A52&lt;=$B$5,L52/M52,0)</f>
        <v>0</v>
      </c>
      <c r="P52">
        <f>IF(A52&lt;=$B$6,L52/M52,0)</f>
        <v>1193.3609055939285</v>
      </c>
    </row>
    <row r="53" spans="1:16">
      <c r="A53" s="1">
        <v>55518</v>
      </c>
      <c r="B53" s="1">
        <v>55334</v>
      </c>
      <c r="C53">
        <v>44</v>
      </c>
      <c r="D53">
        <v>2105.805179713519</v>
      </c>
      <c r="E53">
        <v>1909.70989264321</v>
      </c>
      <c r="F53">
        <v>3605.679523650382</v>
      </c>
      <c r="G53">
        <v>0</v>
      </c>
      <c r="H53">
        <v>1499.874343936863</v>
      </c>
      <c r="I53">
        <f>F53+G53-H53</f>
        <v>2105.805179713519</v>
      </c>
      <c r="J53">
        <f>I53-D53</f>
        <v>0.0</v>
      </c>
      <c r="L53">
        <f>I53</f>
        <v>2105.805179713519</v>
      </c>
      <c r="M53">
        <f>(1+$B$2)^((A53-$B$3)/365)</f>
        <v>3.053499526738677</v>
      </c>
      <c r="N53">
        <f>IF(A53&lt;=$B$4,L53/M53,0)</f>
        <v>0</v>
      </c>
      <c r="O53">
        <f>IF(A53&lt;=$B$5,L53/M53,0)</f>
        <v>0</v>
      </c>
      <c r="P53">
        <f>IF(A53&lt;=$B$6,L53/M53,0)</f>
        <v>689.6366484663081</v>
      </c>
    </row>
    <row r="54" spans="1:16">
      <c r="A54" s="1">
        <v>55700</v>
      </c>
      <c r="B54" s="1">
        <v>55518</v>
      </c>
      <c r="C54">
        <v>45</v>
      </c>
      <c r="D54">
        <v>3612.220588329394</v>
      </c>
      <c r="E54">
        <v>3222.358233227608</v>
      </c>
      <c r="F54">
        <v>3612.220588329394</v>
      </c>
      <c r="G54">
        <v>0</v>
      </c>
      <c r="H54">
        <v>0</v>
      </c>
      <c r="I54">
        <f>F54+G54-H54</f>
        <v>3612.220588329394</v>
      </c>
      <c r="J54">
        <f>I54-D54</f>
        <v>0.0</v>
      </c>
      <c r="L54">
        <f>I54</f>
        <v>3612.220588329394</v>
      </c>
      <c r="M54">
        <f>(1+$B$2)^((A54-$B$3)/365)</f>
        <v>3.13611683746524</v>
      </c>
      <c r="N54">
        <f>IF(A54&lt;=$B$4,L54/M54,0)</f>
        <v>0</v>
      </c>
      <c r="O54">
        <f>IF(A54&lt;=$B$5,L54/M54,0)</f>
        <v>0</v>
      </c>
      <c r="P54">
        <f>IF(A54&lt;=$B$6,L54/M54,0)</f>
        <v>1151.8131420285233</v>
      </c>
    </row>
    <row r="55" spans="1:16">
      <c r="A55" s="1">
        <v>55884</v>
      </c>
      <c r="B55" s="1">
        <v>55700</v>
      </c>
      <c r="C55">
        <v>46</v>
      </c>
      <c r="D55">
        <v>2124.125641140984</v>
      </c>
      <c r="E55">
        <v>1925.991328423238</v>
      </c>
      <c r="F55">
        <v>3651.915320069278</v>
      </c>
      <c r="G55">
        <v>0</v>
      </c>
      <c r="H55">
        <v>1527.789678928295</v>
      </c>
      <c r="I55">
        <f>F55+G55-H55</f>
        <v>2124.1256411409836</v>
      </c>
      <c r="J55">
        <f>I55-D55</f>
        <v>0.0</v>
      </c>
      <c r="L55">
        <f>I55</f>
        <v>2124.1256411409836</v>
      </c>
      <c r="M55">
        <f>(1+$B$2)^((A55-$B$3)/365)</f>
        <v>3.2219145791370534</v>
      </c>
      <c r="N55">
        <f>IF(A55&lt;=$B$4,L55/M55,0)</f>
        <v>0</v>
      </c>
      <c r="O55">
        <f>IF(A55&lt;=$B$5,L55/M55,0)</f>
        <v>0</v>
      </c>
      <c r="P55">
        <f>IF(A55&lt;=$B$6,L55/M55,0)</f>
        <v>659.2743503801712</v>
      </c>
    </row>
    <row r="56" spans="1:16">
      <c r="A56" s="1">
        <v>56065</v>
      </c>
      <c r="B56" s="1">
        <v>55884</v>
      </c>
      <c r="C56">
        <v>47</v>
      </c>
      <c r="D56">
        <v>3658.397321632615</v>
      </c>
      <c r="E56">
        <v>3263.425402686898</v>
      </c>
      <c r="F56">
        <v>3658.397321632615</v>
      </c>
      <c r="G56">
        <v>0</v>
      </c>
      <c r="H56">
        <v>0</v>
      </c>
      <c r="I56">
        <f>F56+G56-H56</f>
        <v>3658.397321632615</v>
      </c>
      <c r="J56">
        <f>I56-D56</f>
        <v>0.0</v>
      </c>
      <c r="L56">
        <f>I56</f>
        <v>3658.397321632615</v>
      </c>
      <c r="M56">
        <f>(1+$B$2)^((A56-$B$3)/365)</f>
        <v>3.3086032635258285</v>
      </c>
      <c r="N56">
        <f>IF(A56&lt;=$B$4,L56/M56,0)</f>
        <v>0</v>
      </c>
      <c r="O56">
        <f>IF(A56&lt;=$B$5,L56/M56,0)</f>
        <v>0</v>
      </c>
      <c r="P56">
        <f>IF(A56&lt;=$B$6,L56/M56,0)</f>
        <v>1105.722575433244</v>
      </c>
    </row>
    <row r="57" spans="1:16">
      <c r="A57" s="1">
        <v>56249</v>
      </c>
      <c r="B57" s="1">
        <v>56065</v>
      </c>
      <c r="C57">
        <v>48</v>
      </c>
      <c r="D57">
        <v>2162.930506307865</v>
      </c>
      <c r="E57">
        <v>1960.543359932297</v>
      </c>
      <c r="F57">
        <v>3719.033741328184</v>
      </c>
      <c r="G57">
        <v>0</v>
      </c>
      <c r="H57">
        <v>1556.103235020319</v>
      </c>
      <c r="I57">
        <f>F57+G57-H57</f>
        <v>2162.930506307865</v>
      </c>
      <c r="J57">
        <f>I57-D57</f>
        <v>0.0</v>
      </c>
      <c r="L57">
        <f>I57</f>
        <v>2162.930506307865</v>
      </c>
      <c r="M57">
        <f>(1+$B$2)^((A57-$B$3)/365)</f>
        <v>3.3991198809895913</v>
      </c>
      <c r="N57">
        <f>IF(A57&lt;=$B$4,L57/M57,0)</f>
        <v>0</v>
      </c>
      <c r="O57">
        <f>IF(A57&lt;=$B$5,L57/M57,0)</f>
        <v>0</v>
      </c>
      <c r="P57">
        <f>IF(A57&lt;=$B$6,L57/M57,0)</f>
        <v>636.320748322112</v>
      </c>
    </row>
    <row r="58" spans="1:16">
      <c r="A58" s="1">
        <v>56430</v>
      </c>
      <c r="B58" s="1">
        <v>56249</v>
      </c>
      <c r="C58">
        <v>49</v>
      </c>
      <c r="D58">
        <v>3715.450413772283</v>
      </c>
      <c r="E58">
        <v>3314.190541876949</v>
      </c>
      <c r="F58">
        <v>3715.450413772283</v>
      </c>
      <c r="G58">
        <v>0</v>
      </c>
      <c r="H58">
        <v>0</v>
      </c>
      <c r="I58">
        <f>F58+G58-H58</f>
        <v>3715.4504137722834</v>
      </c>
      <c r="J58">
        <f>I58-D58</f>
        <v>0.0</v>
      </c>
      <c r="L58">
        <f>I58</f>
        <v>3715.4504137722834</v>
      </c>
      <c r="M58">
        <f>(1+$B$2)^((A58-$B$3)/365)</f>
        <v>3.490576443019749</v>
      </c>
      <c r="N58">
        <f>IF(A58&lt;=$B$4,L58/M58,0)</f>
        <v>0</v>
      </c>
      <c r="O58">
        <f>IF(A58&lt;=$B$5,L58/M58,0)</f>
        <v>0</v>
      </c>
      <c r="P58">
        <f>IF(A58&lt;=$B$6,L58/M58,0)</f>
        <v>1064.4231617394382</v>
      </c>
    </row>
    <row r="59" spans="1:16">
      <c r="A59" s="1">
        <v>56614</v>
      </c>
      <c r="B59" s="1">
        <v>56430</v>
      </c>
      <c r="C59">
        <v>50</v>
      </c>
      <c r="D59">
        <v>2192.165054195233</v>
      </c>
      <c r="E59">
        <v>1986.555904449365</v>
      </c>
      <c r="F59">
        <v>3777.032464829283</v>
      </c>
      <c r="G59">
        <v>0</v>
      </c>
      <c r="H59">
        <v>1584.86741063405</v>
      </c>
      <c r="I59">
        <f>F59+G59-H59</f>
        <v>2192.165054195233</v>
      </c>
      <c r="J59">
        <f>I59-D59</f>
        <v>0.0</v>
      </c>
      <c r="L59">
        <f>I59</f>
        <v>2192.165054195233</v>
      </c>
      <c r="M59">
        <f>(1+$B$2)^((A59-$B$3)/365)</f>
        <v>3.5860714744440183</v>
      </c>
      <c r="N59">
        <f>IF(A59&lt;=$B$4,L59/M59,0)</f>
        <v>0</v>
      </c>
      <c r="O59">
        <f>IF(A59&lt;=$B$5,L59/M59,0)</f>
        <v>0</v>
      </c>
      <c r="P59">
        <f>IF(A59&lt;=$B$6,L59/M59,0)</f>
        <v>611.2998778238531</v>
      </c>
    </row>
    <row r="60" spans="1:16">
      <c r="A60" s="1">
        <v>56795</v>
      </c>
      <c r="B60" s="1">
        <v>56614</v>
      </c>
      <c r="C60">
        <v>51</v>
      </c>
      <c r="D60">
        <v>3773.388019274399</v>
      </c>
      <c r="E60">
        <v>3365.740090218491</v>
      </c>
      <c r="F60">
        <v>3773.388019274399</v>
      </c>
      <c r="G60">
        <v>0</v>
      </c>
      <c r="H60">
        <v>0</v>
      </c>
      <c r="I60">
        <f>F60+G60-H60</f>
        <v>3773.388019274399</v>
      </c>
      <c r="J60">
        <f>I60-D60</f>
        <v>0.0</v>
      </c>
      <c r="L60">
        <f>I60</f>
        <v>3773.388019274399</v>
      </c>
      <c r="M60">
        <f>(1+$B$2)^((A60-$B$3)/365)</f>
        <v>3.682558147385835</v>
      </c>
      <c r="N60">
        <f>IF(A60&lt;=$B$4,L60/M60,0)</f>
        <v>0</v>
      </c>
      <c r="O60">
        <f>IF(A60&lt;=$B$5,L60/M60,0)</f>
        <v>0</v>
      </c>
      <c r="P60">
        <f>IF(A60&lt;=$B$6,L60/M60,0)</f>
        <v>1024.664884640869</v>
      </c>
    </row>
    <row r="61" spans="1:16">
      <c r="A61" s="1">
        <v>56979</v>
      </c>
      <c r="B61" s="1">
        <v>56795</v>
      </c>
      <c r="C61">
        <v>52</v>
      </c>
      <c r="D61">
        <v>2226.356007683385</v>
      </c>
      <c r="E61">
        <v>2016.901546897754</v>
      </c>
      <c r="F61">
        <v>3835.930362135301</v>
      </c>
      <c r="G61">
        <v>0</v>
      </c>
      <c r="H61">
        <v>1609.574354451916</v>
      </c>
      <c r="I61">
        <f>F61+G61-H61</f>
        <v>2226.3560076833846</v>
      </c>
      <c r="J61">
        <f>I61-D61</f>
        <v>0.0</v>
      </c>
      <c r="L61">
        <f>I61</f>
        <v>2226.3560076833846</v>
      </c>
      <c r="M61">
        <f>(1+$B$2)^((A61-$B$3)/365)</f>
        <v>3.783305405538439</v>
      </c>
      <c r="N61">
        <f>IF(A61&lt;=$B$4,L61/M61,0)</f>
        <v>0</v>
      </c>
      <c r="O61">
        <f>IF(A61&lt;=$B$5,L61/M61,0)</f>
        <v>0</v>
      </c>
      <c r="P61">
        <f>IF(A61&lt;=$B$6,L61/M61,0)</f>
        <v>588.468486954341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15">
      <c r="A1" t="s">
        <v>41</v>
      </c>
      <c r="B1">
        <v>0.08</v>
      </c>
      <c r="C1" t="s">
        <v>42</v>
      </c>
      <c r="D1">
        <v>0.12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</row>
    <row r="4" spans="1:15">
      <c r="A4" s="1">
        <v>47664</v>
      </c>
      <c r="B4">
        <v>20000</v>
      </c>
      <c r="C4">
        <v>0</v>
      </c>
      <c r="D4">
        <v>0</v>
      </c>
      <c r="E4">
        <v>0</v>
      </c>
      <c r="F4">
        <f>-B4+C4-D4+E4</f>
        <v>-20000.0</v>
      </c>
      <c r="G4">
        <f>F4/((1+$B$1)^((A4-$A$4)/365))</f>
        <v>-20000.0</v>
      </c>
      <c r="H4" s="1">
        <v>47484</v>
      </c>
      <c r="I4">
        <v>500</v>
      </c>
      <c r="J4">
        <v>8475.287260471054</v>
      </c>
      <c r="K4">
        <v>0</v>
      </c>
      <c r="L4">
        <v>0</v>
      </c>
      <c r="M4">
        <v>0</v>
      </c>
      <c r="N4">
        <f>-I4-J4+K4+L4+M4</f>
        <v>-8975.287260471054</v>
      </c>
      <c r="O4">
        <f>N4/((1+$D$1)^((H4-$H$4)/365))</f>
        <v>-8975.287260471054</v>
      </c>
    </row>
    <row r="5" spans="1:15">
      <c r="A5" s="1">
        <v>47848</v>
      </c>
      <c r="B5">
        <v>13000</v>
      </c>
      <c r="C5">
        <v>0</v>
      </c>
      <c r="D5">
        <v>0</v>
      </c>
      <c r="E5">
        <v>0</v>
      </c>
      <c r="F5">
        <f>-B5+C5-D5+E5</f>
        <v>-13000.0</v>
      </c>
      <c r="G5">
        <f>F5/((1+$B$1)^((A5-$A$4)/365))</f>
        <v>-12505.300052479399</v>
      </c>
      <c r="H5" s="1">
        <v>47665</v>
      </c>
      <c r="I5">
        <v>0</v>
      </c>
      <c r="J5">
        <v>0</v>
      </c>
      <c r="K5">
        <v>0</v>
      </c>
      <c r="L5">
        <v>0</v>
      </c>
      <c r="M5">
        <v>0</v>
      </c>
      <c r="N5">
        <f>-I5-J5+K5+L5+M5</f>
        <v>0.0</v>
      </c>
      <c r="O5">
        <f>N5/((1+$D$1)^((H5-$H$4)/365))</f>
        <v>0.0</v>
      </c>
    </row>
    <row r="6" spans="1:15">
      <c r="A6" s="1">
        <v>47907</v>
      </c>
      <c r="B6">
        <v>0</v>
      </c>
      <c r="C6">
        <v>0</v>
      </c>
      <c r="D6">
        <v>0</v>
      </c>
      <c r="E6">
        <v>0</v>
      </c>
      <c r="F6">
        <f>-B6+C6-D6+E6</f>
        <v>0.0</v>
      </c>
      <c r="G6">
        <f>F6/((1+$B$1)^((A6-$A$4)/365))</f>
        <v>0.0</v>
      </c>
      <c r="H6" s="1">
        <v>47849</v>
      </c>
      <c r="I6">
        <v>0</v>
      </c>
      <c r="J6">
        <v>0</v>
      </c>
      <c r="K6">
        <v>0</v>
      </c>
      <c r="L6">
        <v>0</v>
      </c>
      <c r="M6">
        <v>0</v>
      </c>
      <c r="N6">
        <f>-I6-J6+K6+L6+M6</f>
        <v>0.0</v>
      </c>
      <c r="O6">
        <f>N6/((1+$D$1)^((H6-$H$4)/365))</f>
        <v>0.0</v>
      </c>
    </row>
    <row r="7" spans="1:15">
      <c r="A7" s="1">
        <v>48029</v>
      </c>
      <c r="B7">
        <v>0</v>
      </c>
      <c r="C7">
        <v>1445.442630136986</v>
      </c>
      <c r="D7">
        <v>0</v>
      </c>
      <c r="E7">
        <v>0</v>
      </c>
      <c r="F7">
        <f>-B7+C7-D7+E7</f>
        <v>1445.4426301369863</v>
      </c>
      <c r="G7">
        <f>F7/((1+$B$1)^((A7-$A$4)/365))</f>
        <v>1338.3728056823948</v>
      </c>
      <c r="H7" s="1">
        <v>48029</v>
      </c>
      <c r="I7">
        <v>0</v>
      </c>
      <c r="J7">
        <v>0</v>
      </c>
      <c r="K7">
        <v>145.3182730716051</v>
      </c>
      <c r="L7">
        <v>226.6268593484862</v>
      </c>
      <c r="M7">
        <v>0</v>
      </c>
      <c r="N7">
        <f>-I7-J7+K7+L7+M7</f>
        <v>371.94513242009134</v>
      </c>
      <c r="O7">
        <f>N7/((1+$D$1)^((H7-$H$4)/365))</f>
        <v>314.0428827377393</v>
      </c>
    </row>
    <row r="8" spans="1:15">
      <c r="A8" s="1">
        <v>48213</v>
      </c>
      <c r="B8">
        <v>0</v>
      </c>
      <c r="C8">
        <v>2180.011835616438</v>
      </c>
      <c r="D8">
        <v>540.6863788564214</v>
      </c>
      <c r="E8">
        <v>0</v>
      </c>
      <c r="F8">
        <f>-B8+C8-D8+E8</f>
        <v>1639.325456760017</v>
      </c>
      <c r="G8">
        <f>F8/((1+$B$1)^((A8-$A$4)/365))</f>
        <v>1460.1322450464284</v>
      </c>
      <c r="H8" s="1">
        <v>48213</v>
      </c>
      <c r="I8">
        <v>0</v>
      </c>
      <c r="J8">
        <v>0</v>
      </c>
      <c r="K8">
        <v>131.6457596046261</v>
      </c>
      <c r="L8">
        <v>341.7978862305039</v>
      </c>
      <c r="M8">
        <v>0</v>
      </c>
      <c r="N8">
        <f>-I8-J8+K8+L8+M8</f>
        <v>473.4436458351299</v>
      </c>
      <c r="O8">
        <f>N8/((1+$D$1)^((H8-$H$4)/365))</f>
        <v>377.5435809648731</v>
      </c>
    </row>
    <row r="9" spans="1:15">
      <c r="A9" s="1">
        <v>48395</v>
      </c>
      <c r="B9">
        <v>0</v>
      </c>
      <c r="C9">
        <v>2183.88827467541</v>
      </c>
      <c r="D9">
        <v>0</v>
      </c>
      <c r="E9">
        <v>0</v>
      </c>
      <c r="F9">
        <f>-B9+C9-D9+E9</f>
        <v>2183.88827467541</v>
      </c>
      <c r="G9">
        <f>F9/((1+$B$1)^((A9-$A$4)/365))</f>
        <v>1871.9374533968285</v>
      </c>
      <c r="H9" s="1">
        <v>48395</v>
      </c>
      <c r="I9">
        <v>0</v>
      </c>
      <c r="J9">
        <v>0</v>
      </c>
      <c r="K9">
        <v>224.8748486894575</v>
      </c>
      <c r="L9">
        <v>337.1589686132747</v>
      </c>
      <c r="M9">
        <v>0</v>
      </c>
      <c r="N9">
        <f>-I9-J9+K9+L9+M9</f>
        <v>562.0338173027321</v>
      </c>
      <c r="O9">
        <f>N9/((1+$D$1)^((H9-$H$4)/365))</f>
        <v>423.5646006122758</v>
      </c>
    </row>
    <row r="10" spans="1:15">
      <c r="A10" s="1">
        <v>48579</v>
      </c>
      <c r="B10">
        <v>0</v>
      </c>
      <c r="C10">
        <v>2207.88704692459</v>
      </c>
      <c r="D10">
        <v>659.6622398837976</v>
      </c>
      <c r="E10">
        <v>0</v>
      </c>
      <c r="F10">
        <f>-B10+C10-D10+E10</f>
        <v>1548.2248070407923</v>
      </c>
      <c r="G10">
        <f>F10/((1+$B$1)^((A10-$A$4)/365))</f>
        <v>1276.573142803035</v>
      </c>
      <c r="H10" s="1">
        <v>48579</v>
      </c>
      <c r="I10">
        <v>0</v>
      </c>
      <c r="J10">
        <v>0</v>
      </c>
      <c r="K10">
        <v>94.83823751646702</v>
      </c>
      <c r="L10">
        <v>340.8640122244096</v>
      </c>
      <c r="M10">
        <v>0</v>
      </c>
      <c r="N10">
        <f>-I10-J10+K10+L10+M10</f>
        <v>435.7022497408766</v>
      </c>
      <c r="O10">
        <f>N10/((1+$D$1)^((H10-$H$4)/365))</f>
        <v>310.12425529342187</v>
      </c>
    </row>
    <row r="11" spans="1:15">
      <c r="A11" s="1">
        <v>48760</v>
      </c>
      <c r="B11">
        <v>0</v>
      </c>
      <c r="C11">
        <v>2211.726265167936</v>
      </c>
      <c r="D11">
        <v>0</v>
      </c>
      <c r="E11">
        <v>0</v>
      </c>
      <c r="F11">
        <f>-B11+C11-D11+E11</f>
        <v>2211.726265167936</v>
      </c>
      <c r="G11">
        <f>F11/((1+$B$1)^((A11-$A$4)/365))</f>
        <v>1755.3694551236542</v>
      </c>
      <c r="H11" s="1">
        <v>48760</v>
      </c>
      <c r="I11">
        <v>0</v>
      </c>
      <c r="J11">
        <v>0</v>
      </c>
      <c r="K11">
        <v>233.0440771642556</v>
      </c>
      <c r="L11">
        <v>336.2250946071804</v>
      </c>
      <c r="M11">
        <v>0</v>
      </c>
      <c r="N11">
        <f>-I11-J11+K11+L11+M11</f>
        <v>569.269171771436</v>
      </c>
      <c r="O11">
        <f>N11/((1+$D$1)^((H11-$H$4)/365))</f>
        <v>383.05122199418037</v>
      </c>
    </row>
    <row r="12" spans="1:15">
      <c r="A12" s="1">
        <v>48944</v>
      </c>
      <c r="B12">
        <v>0</v>
      </c>
      <c r="C12">
        <v>2248.384711551936</v>
      </c>
      <c r="D12">
        <v>676.7419395662163</v>
      </c>
      <c r="E12">
        <v>0</v>
      </c>
      <c r="F12">
        <f>-B12+C12-D12+E12</f>
        <v>1571.6427719857193</v>
      </c>
      <c r="G12">
        <f>F12/((1+$B$1)^((A12-$A$4)/365))</f>
        <v>1199.8909162104296</v>
      </c>
      <c r="H12" s="1">
        <v>48944</v>
      </c>
      <c r="I12">
        <v>0</v>
      </c>
      <c r="J12">
        <v>0</v>
      </c>
      <c r="K12">
        <v>104.9099111237007</v>
      </c>
      <c r="L12">
        <v>341.7978862305039</v>
      </c>
      <c r="M12">
        <v>0</v>
      </c>
      <c r="N12">
        <f>-I12-J12+K12+L12+M12</f>
        <v>446.70779735420456</v>
      </c>
      <c r="O12">
        <f>N12/((1+$D$1)^((H12-$H$4)/365))</f>
        <v>283.89088098299885</v>
      </c>
    </row>
    <row r="13" spans="1:15">
      <c r="A13" s="1">
        <v>49125</v>
      </c>
      <c r="B13">
        <v>0</v>
      </c>
      <c r="C13">
        <v>2246.137058145137</v>
      </c>
      <c r="D13">
        <v>0</v>
      </c>
      <c r="E13">
        <v>0</v>
      </c>
      <c r="F13">
        <f>-B13+C13-D13+E13</f>
        <v>2246.1370581451365</v>
      </c>
      <c r="G13">
        <f>F13/((1+$B$1)^((A13-$A$4)/365))</f>
        <v>1650.6297156608455</v>
      </c>
      <c r="H13" s="1">
        <v>49125</v>
      </c>
      <c r="I13">
        <v>0</v>
      </c>
      <c r="J13">
        <v>0</v>
      </c>
      <c r="K13">
        <v>241.9735275181446</v>
      </c>
      <c r="L13">
        <v>336.2250946071804</v>
      </c>
      <c r="M13">
        <v>0</v>
      </c>
      <c r="N13">
        <f>-I13-J13+K13+L13+M13</f>
        <v>578.1986221253251</v>
      </c>
      <c r="O13">
        <f>N13/((1+$D$1)^((H13-$H$4)/365))</f>
        <v>347.3747251975703</v>
      </c>
    </row>
    <row r="14" spans="1:15">
      <c r="A14" s="1">
        <v>49309</v>
      </c>
      <c r="B14">
        <v>0</v>
      </c>
      <c r="C14">
        <v>2283.365849164117</v>
      </c>
      <c r="D14">
        <v>694.0906567743917</v>
      </c>
      <c r="E14">
        <v>0</v>
      </c>
      <c r="F14">
        <f>-B14+C14-D14+E14</f>
        <v>1589.2751923897254</v>
      </c>
      <c r="G14">
        <f>F14/((1+$B$1)^((A14-$A$4)/365))</f>
        <v>1123.4746432076226</v>
      </c>
      <c r="H14" s="1">
        <v>49309</v>
      </c>
      <c r="I14">
        <v>0</v>
      </c>
      <c r="J14">
        <v>0</v>
      </c>
      <c r="K14">
        <v>104.8138079225256</v>
      </c>
      <c r="L14">
        <v>341.7978862305039</v>
      </c>
      <c r="M14">
        <v>0</v>
      </c>
      <c r="N14">
        <f>-I14-J14+K14+L14+M14</f>
        <v>446.6116941530295</v>
      </c>
      <c r="O14">
        <f>N14/((1+$D$1)^((H14-$H$4)/365))</f>
        <v>253.4194693404103</v>
      </c>
    </row>
    <row r="15" spans="1:15">
      <c r="A15" s="1">
        <v>49490</v>
      </c>
      <c r="B15">
        <v>0</v>
      </c>
      <c r="C15">
        <v>2281.079673163247</v>
      </c>
      <c r="D15">
        <v>0</v>
      </c>
      <c r="E15">
        <v>0</v>
      </c>
      <c r="F15">
        <f>-B15+C15-D15+E15</f>
        <v>2281.079673163247</v>
      </c>
      <c r="G15">
        <f>F15/((1+$B$1)^((A15-$A$4)/365))</f>
        <v>1552.1371906538739</v>
      </c>
      <c r="H15" s="1">
        <v>49490</v>
      </c>
      <c r="I15">
        <v>0</v>
      </c>
      <c r="J15">
        <v>0</v>
      </c>
      <c r="K15">
        <v>251.0424684244535</v>
      </c>
      <c r="L15">
        <v>336.2250946071804</v>
      </c>
      <c r="M15">
        <v>0</v>
      </c>
      <c r="N15">
        <f>-I15-J15+K15+L15+M15</f>
        <v>587.2675630316339</v>
      </c>
      <c r="O15">
        <f>N15/((1+$D$1)^((H15-$H$4)/365))</f>
        <v>315.02074552762394</v>
      </c>
    </row>
    <row r="16" spans="1:15">
      <c r="A16" s="1">
        <v>49674</v>
      </c>
      <c r="B16">
        <v>0</v>
      </c>
      <c r="C16">
        <v>2318.887623547169</v>
      </c>
      <c r="D16">
        <v>712.1118749148872</v>
      </c>
      <c r="E16">
        <v>0</v>
      </c>
      <c r="F16">
        <f>-B16+C16-D16+E16</f>
        <v>1606.7757486322816</v>
      </c>
      <c r="G16">
        <f>F16/((1+$B$1)^((A16-$A$4)/365))</f>
        <v>1051.7092247304824</v>
      </c>
      <c r="H16" s="1">
        <v>49674</v>
      </c>
      <c r="I16">
        <v>0</v>
      </c>
      <c r="J16">
        <v>0</v>
      </c>
      <c r="K16">
        <v>104.4220133923162</v>
      </c>
      <c r="L16">
        <v>341.7978862305039</v>
      </c>
      <c r="M16">
        <v>0</v>
      </c>
      <c r="N16">
        <f>-I16-J16+K16+L16+M16</f>
        <v>446.2198996228201</v>
      </c>
      <c r="O16">
        <f>N16/((1+$D$1)^((H16-$H$4)/365))</f>
        <v>226.06888803754094</v>
      </c>
    </row>
    <row r="17" spans="1:15">
      <c r="A17" s="1">
        <v>49856</v>
      </c>
      <c r="B17">
        <v>0</v>
      </c>
      <c r="C17">
        <v>2322.996569213331</v>
      </c>
      <c r="D17">
        <v>0</v>
      </c>
      <c r="E17">
        <v>0</v>
      </c>
      <c r="F17">
        <f>-B17+C17-D17+E17</f>
        <v>2322.9965692133305</v>
      </c>
      <c r="G17">
        <f>F17/((1+$B$1)^((A17-$A$4)/365))</f>
        <v>1463.2646860827376</v>
      </c>
      <c r="H17" s="1">
        <v>49856</v>
      </c>
      <c r="I17">
        <v>0</v>
      </c>
      <c r="J17">
        <v>0</v>
      </c>
      <c r="K17">
        <v>260.9759269572056</v>
      </c>
      <c r="L17">
        <v>337.1589686132747</v>
      </c>
      <c r="M17">
        <v>0</v>
      </c>
      <c r="N17">
        <f>-I17-J17+K17+L17+M17</f>
        <v>598.1348955704802</v>
      </c>
      <c r="O17">
        <f>N17/((1+$D$1)^((H17-$H$4)/365))</f>
        <v>286.3844378996715</v>
      </c>
    </row>
    <row r="18" spans="1:15">
      <c r="A18" s="1">
        <v>50040</v>
      </c>
      <c r="B18">
        <v>0</v>
      </c>
      <c r="C18">
        <v>2348.524004039851</v>
      </c>
      <c r="D18">
        <v>879.603160236189</v>
      </c>
      <c r="E18">
        <v>0</v>
      </c>
      <c r="F18">
        <f>-B18+C18-D18+E18</f>
        <v>1468.9208438036617</v>
      </c>
      <c r="G18">
        <f>F18/((1+$B$1)^((A18-$A$4)/365))</f>
        <v>890.0686017221526</v>
      </c>
      <c r="H18" s="1">
        <v>50040</v>
      </c>
      <c r="I18">
        <v>0</v>
      </c>
      <c r="J18">
        <v>0</v>
      </c>
      <c r="K18">
        <v>78.30604371427904</v>
      </c>
      <c r="L18">
        <v>340.8640122244096</v>
      </c>
      <c r="M18">
        <v>0</v>
      </c>
      <c r="N18">
        <f>-I18-J18+K18+L18+M18</f>
        <v>419.1700559386886</v>
      </c>
      <c r="O18">
        <f>N18/((1+$D$1)^((H18-$H$4)/365))</f>
        <v>189.55238272507702</v>
      </c>
    </row>
    <row r="19" spans="1:15">
      <c r="A19" s="1">
        <v>50221</v>
      </c>
      <c r="B19">
        <v>0</v>
      </c>
      <c r="C19">
        <v>2352.593079222681</v>
      </c>
      <c r="D19">
        <v>0</v>
      </c>
      <c r="E19">
        <v>0</v>
      </c>
      <c r="F19">
        <f>-B19+C19-D19+E19</f>
        <v>2352.593079222681</v>
      </c>
      <c r="G19">
        <f>F19/((1+$B$1)^((A19-$A$4)/365))</f>
        <v>1372.1367076649722</v>
      </c>
      <c r="H19" s="1">
        <v>50221</v>
      </c>
      <c r="I19">
        <v>0</v>
      </c>
      <c r="J19">
        <v>0</v>
      </c>
      <c r="K19">
        <v>269.6075247868411</v>
      </c>
      <c r="L19">
        <v>336.2250946071804</v>
      </c>
      <c r="M19">
        <v>0</v>
      </c>
      <c r="N19">
        <f>-I19-J19+K19+L19+M19</f>
        <v>605.8326193940215</v>
      </c>
      <c r="O19">
        <f>N19/((1+$D$1)^((H19-$H$4)/365))</f>
        <v>258.9911386140747</v>
      </c>
    </row>
    <row r="20" spans="1:15">
      <c r="A20" s="1">
        <v>50405</v>
      </c>
      <c r="B20">
        <v>0</v>
      </c>
      <c r="C20">
        <v>2391.586334679411</v>
      </c>
      <c r="D20">
        <v>897.7620553025009</v>
      </c>
      <c r="E20">
        <v>0</v>
      </c>
      <c r="F20">
        <f>-B20+C20-D20+E20</f>
        <v>1493.82427937691</v>
      </c>
      <c r="G20">
        <f>F20/((1+$B$1)^((A20-$A$4)/365))</f>
        <v>838.1096591673356</v>
      </c>
      <c r="H20" s="1">
        <v>50405</v>
      </c>
      <c r="I20">
        <v>0</v>
      </c>
      <c r="J20">
        <v>0</v>
      </c>
      <c r="K20">
        <v>78.39756879521508</v>
      </c>
      <c r="L20">
        <v>341.7978862305039</v>
      </c>
      <c r="M20">
        <v>0</v>
      </c>
      <c r="N20">
        <f>-I20-J20+K20+L20+M20</f>
        <v>420.19545502571896</v>
      </c>
      <c r="O20">
        <f>N20/((1+$D$1)^((H20-$H$4)/365))</f>
        <v>169.6572117882678</v>
      </c>
    </row>
    <row r="21" spans="1:15">
      <c r="A21" s="1">
        <v>50586</v>
      </c>
      <c r="B21">
        <v>0</v>
      </c>
      <c r="C21">
        <v>2389.18053528806</v>
      </c>
      <c r="D21">
        <v>0</v>
      </c>
      <c r="E21">
        <v>0</v>
      </c>
      <c r="F21">
        <f>-B21+C21-D21+E21</f>
        <v>2389.18053528806</v>
      </c>
      <c r="G21">
        <f>F21/((1+$B$1)^((A21-$A$4)/365))</f>
        <v>1290.255681517624</v>
      </c>
      <c r="H21" s="1">
        <v>50586</v>
      </c>
      <c r="I21">
        <v>0</v>
      </c>
      <c r="J21">
        <v>0</v>
      </c>
      <c r="K21">
        <v>279.1080757949528</v>
      </c>
      <c r="L21">
        <v>336.2250946071804</v>
      </c>
      <c r="M21">
        <v>0</v>
      </c>
      <c r="N21">
        <f>-I21-J21+K21+L21+M21</f>
        <v>615.3331704021332</v>
      </c>
      <c r="O21">
        <f>N21/((1+$D$1)^((H21-$H$4)/365))</f>
        <v>234.86838214733828</v>
      </c>
    </row>
    <row r="22" spans="1:15">
      <c r="A22" s="1">
        <v>50770</v>
      </c>
      <c r="B22">
        <v>0</v>
      </c>
      <c r="C22">
        <v>2428.780212668526</v>
      </c>
      <c r="D22">
        <v>916.208169418038</v>
      </c>
      <c r="E22">
        <v>0</v>
      </c>
      <c r="F22">
        <f>-B22+C22-D22+E22</f>
        <v>1512.5720432504877</v>
      </c>
      <c r="G22">
        <f>F22/((1+$B$1)^((A22-$A$4)/365))</f>
        <v>785.7667466723819</v>
      </c>
      <c r="H22" s="1">
        <v>50770</v>
      </c>
      <c r="I22">
        <v>0</v>
      </c>
      <c r="J22">
        <v>0</v>
      </c>
      <c r="K22">
        <v>77.60875610939399</v>
      </c>
      <c r="L22">
        <v>341.7978862305039</v>
      </c>
      <c r="M22">
        <v>0</v>
      </c>
      <c r="N22">
        <f>-I22-J22+K22+L22+M22</f>
        <v>419.40664233989787</v>
      </c>
      <c r="O22">
        <f>N22/((1+$D$1)^((H22-$H$4)/365))</f>
        <v>151.19528792625277</v>
      </c>
    </row>
    <row r="23" spans="1:15">
      <c r="A23" s="1">
        <v>50951</v>
      </c>
      <c r="B23">
        <v>0</v>
      </c>
      <c r="C23">
        <v>2426.333147138884</v>
      </c>
      <c r="D23">
        <v>0</v>
      </c>
      <c r="E23">
        <v>0</v>
      </c>
      <c r="F23">
        <f>-B23+C23-D23+E23</f>
        <v>2426.3331471388838</v>
      </c>
      <c r="G23">
        <f>F23/((1+$B$1)^((A23-$A$4)/365))</f>
        <v>1213.2589063379392</v>
      </c>
      <c r="H23" s="1">
        <v>50951</v>
      </c>
      <c r="I23">
        <v>0</v>
      </c>
      <c r="J23">
        <v>0</v>
      </c>
      <c r="K23">
        <v>288.7569894892612</v>
      </c>
      <c r="L23">
        <v>336.2250946071804</v>
      </c>
      <c r="M23">
        <v>0</v>
      </c>
      <c r="N23">
        <f>-I23-J23+K23+L23+M23</f>
        <v>624.9820840964417</v>
      </c>
      <c r="O23">
        <f>N23/((1+$D$1)^((H23-$H$4)/365))</f>
        <v>212.9922368299994</v>
      </c>
    </row>
    <row r="24" spans="1:15">
      <c r="A24" s="1">
        <v>51135</v>
      </c>
      <c r="B24">
        <v>0</v>
      </c>
      <c r="C24">
        <v>2466.548613666048</v>
      </c>
      <c r="D24">
        <v>934.9320746266224</v>
      </c>
      <c r="E24">
        <v>0</v>
      </c>
      <c r="F24">
        <f>-B24+C24-D24+E24</f>
        <v>1531.6165390394256</v>
      </c>
      <c r="G24">
        <f>F24/((1+$B$1)^((A24-$A$4)/365))</f>
        <v>736.7223894000197</v>
      </c>
      <c r="H24" s="1">
        <v>51135</v>
      </c>
      <c r="I24">
        <v>0</v>
      </c>
      <c r="J24">
        <v>0</v>
      </c>
      <c r="K24">
        <v>76.54757991071972</v>
      </c>
      <c r="L24">
        <v>341.7978862305039</v>
      </c>
      <c r="M24">
        <v>0</v>
      </c>
      <c r="N24">
        <f>-I24-J24+K24+L24+M24</f>
        <v>418.3454661412236</v>
      </c>
      <c r="O24">
        <f>N24/((1+$D$1)^((H24-$H$4)/365))</f>
        <v>134.65422852461774</v>
      </c>
    </row>
    <row r="25" spans="1:15">
      <c r="A25" s="1">
        <v>51317</v>
      </c>
      <c r="B25">
        <v>0</v>
      </c>
      <c r="C25">
        <v>2470.903555703116</v>
      </c>
      <c r="D25">
        <v>0</v>
      </c>
      <c r="E25">
        <v>0</v>
      </c>
      <c r="F25">
        <f>-B25+C25-D25+E25</f>
        <v>2470.9035557031157</v>
      </c>
      <c r="G25">
        <f>F25/((1+$B$1)^((A25-$A$4)/365))</f>
        <v>1143.7827006244177</v>
      </c>
      <c r="H25" s="1">
        <v>51317</v>
      </c>
      <c r="I25">
        <v>0</v>
      </c>
      <c r="J25">
        <v>0</v>
      </c>
      <c r="K25">
        <v>299.3858187746897</v>
      </c>
      <c r="L25">
        <v>337.1589686132747</v>
      </c>
      <c r="M25">
        <v>0</v>
      </c>
      <c r="N25">
        <f>-I25-J25+K25+L25+M25</f>
        <v>636.5447873879643</v>
      </c>
      <c r="O25">
        <f>N25/((1+$D$1)^((H25-$H$4)/365))</f>
        <v>193.62984869981753</v>
      </c>
    </row>
    <row r="26" spans="1:15">
      <c r="A26" s="1">
        <v>51501</v>
      </c>
      <c r="B26">
        <v>0</v>
      </c>
      <c r="C26">
        <v>2498.056342029524</v>
      </c>
      <c r="D26">
        <v>953.9666946472552</v>
      </c>
      <c r="E26">
        <v>0</v>
      </c>
      <c r="F26">
        <f>-B26+C26-D26+E26</f>
        <v>1544.0896473822686</v>
      </c>
      <c r="G26">
        <f>F26/((1+$B$1)^((A26-$A$4)/365))</f>
        <v>687.5606363592454</v>
      </c>
      <c r="H26" s="1">
        <v>51501</v>
      </c>
      <c r="I26">
        <v>0</v>
      </c>
      <c r="J26">
        <v>0</v>
      </c>
      <c r="K26">
        <v>74.40437987074284</v>
      </c>
      <c r="L26">
        <v>340.8640122244096</v>
      </c>
      <c r="M26">
        <v>0</v>
      </c>
      <c r="N26">
        <f>-I26-J26+K26+L26+M26</f>
        <v>415.2683920951524</v>
      </c>
      <c r="O26">
        <f>N26/((1+$D$1)^((H26-$H$4)/365))</f>
        <v>119.30563020453762</v>
      </c>
    </row>
    <row r="27" spans="1:15">
      <c r="A27" s="1">
        <v>51682</v>
      </c>
      <c r="B27">
        <v>0</v>
      </c>
      <c r="C27">
        <v>2502.368572792584</v>
      </c>
      <c r="D27">
        <v>0</v>
      </c>
      <c r="E27">
        <v>0</v>
      </c>
      <c r="F27">
        <f>-B27+C27-D27+E27</f>
        <v>2502.3685727925845</v>
      </c>
      <c r="G27">
        <f>F27/((1+$B$1)^((A27-$A$4)/365))</f>
        <v>1072.5443291038137</v>
      </c>
      <c r="H27" s="1">
        <v>51682</v>
      </c>
      <c r="I27">
        <v>0</v>
      </c>
      <c r="J27">
        <v>0</v>
      </c>
      <c r="K27">
        <v>308.5091573140796</v>
      </c>
      <c r="L27">
        <v>336.2250946071804</v>
      </c>
      <c r="M27">
        <v>0</v>
      </c>
      <c r="N27">
        <f>-I27-J27+K27+L27+M27</f>
        <v>644.73425192126</v>
      </c>
      <c r="O27">
        <f>N27/((1+$D$1)^((H27-$H$4)/365))</f>
        <v>175.10802926735502</v>
      </c>
    </row>
    <row r="28" spans="1:15">
      <c r="A28" s="1">
        <v>51866</v>
      </c>
      <c r="B28">
        <v>0</v>
      </c>
      <c r="C28">
        <v>3088.424073408117</v>
      </c>
      <c r="D28">
        <v>1110.170255877654</v>
      </c>
      <c r="E28">
        <v>0</v>
      </c>
      <c r="F28">
        <f>-B28+C28-D28+E28</f>
        <v>1978.2538175304635</v>
      </c>
      <c r="G28">
        <f>F28/((1+$B$1)^((A28-$A$4)/365))</f>
        <v>815.6366846527765</v>
      </c>
      <c r="H28" s="1">
        <v>51866</v>
      </c>
      <c r="I28">
        <v>0</v>
      </c>
      <c r="J28">
        <v>0</v>
      </c>
      <c r="K28">
        <v>175.4532259296326</v>
      </c>
      <c r="L28">
        <v>341.7978862305039</v>
      </c>
      <c r="M28">
        <v>0</v>
      </c>
      <c r="N28">
        <f>-I28-J28+K28+L28+M28</f>
        <v>517.2511121601365</v>
      </c>
      <c r="O28">
        <f>N28/((1+$D$1)^((H28-$H$4)/365))</f>
        <v>132.68305829641733</v>
      </c>
    </row>
    <row r="29" spans="1:15">
      <c r="A29" s="1">
        <v>52047</v>
      </c>
      <c r="B29">
        <v>0</v>
      </c>
      <c r="C29">
        <v>3085.498199220374</v>
      </c>
      <c r="D29">
        <v>0</v>
      </c>
      <c r="E29">
        <v>0</v>
      </c>
      <c r="F29">
        <f>-B29+C29-D29+E29</f>
        <v>3085.498199220374</v>
      </c>
      <c r="G29">
        <f>F29/((1+$B$1)^((A29-$A$4)/365))</f>
        <v>1224.5189647206269</v>
      </c>
      <c r="H29" s="1">
        <v>52047</v>
      </c>
      <c r="I29">
        <v>0</v>
      </c>
      <c r="J29">
        <v>0</v>
      </c>
      <c r="K29">
        <v>3296.695918299793</v>
      </c>
      <c r="L29">
        <v>336.2250946071804</v>
      </c>
      <c r="M29">
        <v>0</v>
      </c>
      <c r="N29">
        <f>-I29-J29+K29+L29+M29</f>
        <v>3632.9210129069734</v>
      </c>
      <c r="O29">
        <f>N29/((1+$D$1)^((H29-$H$4)/365))</f>
        <v>880.974322197774</v>
      </c>
    </row>
    <row r="30" spans="1:15">
      <c r="A30" s="1">
        <v>52231</v>
      </c>
      <c r="B30">
        <v>0</v>
      </c>
      <c r="C30">
        <v>3136.639053351098</v>
      </c>
      <c r="D30">
        <v>1267.267506314694</v>
      </c>
      <c r="E30">
        <v>0</v>
      </c>
      <c r="F30">
        <f>-B30+C30-D30+E30</f>
        <v>1869.3715470364036</v>
      </c>
      <c r="G30">
        <f>F30/((1+$B$1)^((A30-$A$4)/365))</f>
        <v>713.6522032046917</v>
      </c>
      <c r="H30" s="1">
        <v>52231</v>
      </c>
      <c r="I30">
        <v>0</v>
      </c>
      <c r="J30">
        <v>0</v>
      </c>
      <c r="K30">
        <v>1705.844724717007</v>
      </c>
      <c r="L30">
        <v>341.7978862305039</v>
      </c>
      <c r="M30">
        <v>0</v>
      </c>
      <c r="N30">
        <f>-I30-J30+K30+L30+M30</f>
        <v>2047.6426109475105</v>
      </c>
      <c r="O30">
        <f>N30/((1+$D$1)^((H30-$H$4)/365))</f>
        <v>468.97552260165315</v>
      </c>
    </row>
    <row r="31" spans="1:15">
      <c r="A31" s="1">
        <v>52412</v>
      </c>
      <c r="B31">
        <v>0</v>
      </c>
      <c r="C31">
        <v>3133.663388956016</v>
      </c>
      <c r="D31">
        <v>0</v>
      </c>
      <c r="E31">
        <v>0</v>
      </c>
      <c r="F31">
        <f>-B31+C31-D31+E31</f>
        <v>3133.663388956016</v>
      </c>
      <c r="G31">
        <f>F31/((1+$B$1)^((A31-$A$4)/365))</f>
        <v>1151.5128973448068</v>
      </c>
      <c r="H31" s="1">
        <v>52412</v>
      </c>
      <c r="I31">
        <v>0</v>
      </c>
      <c r="J31">
        <v>0</v>
      </c>
      <c r="K31">
        <v>2797.438294348836</v>
      </c>
      <c r="L31">
        <v>336.2250946071804</v>
      </c>
      <c r="M31">
        <v>0</v>
      </c>
      <c r="N31">
        <f>-I31-J31+K31+L31+M31</f>
        <v>3133.663388956016</v>
      </c>
      <c r="O31">
        <f>N31/((1+$D$1)^((H31-$H$4)/365))</f>
        <v>678.4871325387596</v>
      </c>
    </row>
    <row r="32" spans="1:15">
      <c r="A32" s="1">
        <v>52596</v>
      </c>
      <c r="B32">
        <v>0</v>
      </c>
      <c r="C32">
        <v>3185.602561148658</v>
      </c>
      <c r="D32">
        <v>1291.54086129106</v>
      </c>
      <c r="E32">
        <v>0</v>
      </c>
      <c r="F32">
        <f>-B32+C32-D32+E32</f>
        <v>1894.061699857598</v>
      </c>
      <c r="G32">
        <f>F32/((1+$B$1)^((A32-$A$4)/365))</f>
        <v>669.5166001068694</v>
      </c>
      <c r="H32" s="1">
        <v>52596</v>
      </c>
      <c r="I32">
        <v>0</v>
      </c>
      <c r="J32">
        <v>0</v>
      </c>
      <c r="K32">
        <v>1721.768289985963</v>
      </c>
      <c r="L32">
        <v>341.7978862305039</v>
      </c>
      <c r="M32">
        <v>0</v>
      </c>
      <c r="N32">
        <f>-I32-J32+K32+L32+M32</f>
        <v>2063.5661762164673</v>
      </c>
      <c r="O32">
        <f>N32/((1+$D$1)^((H32-$H$4)/365))</f>
        <v>421.984399427774</v>
      </c>
    </row>
    <row r="33" spans="1:15">
      <c r="A33" s="1">
        <v>52778</v>
      </c>
      <c r="B33">
        <v>0</v>
      </c>
      <c r="C33">
        <v>3191.41593856632</v>
      </c>
      <c r="D33">
        <v>0</v>
      </c>
      <c r="E33">
        <v>0</v>
      </c>
      <c r="F33">
        <f>-B33+C33-D33+E33</f>
        <v>3191.41593856632</v>
      </c>
      <c r="G33">
        <f>F33/((1+$B$1)^((A33-$A$4)/365))</f>
        <v>1085.6367721651593</v>
      </c>
      <c r="H33" s="1">
        <v>52778</v>
      </c>
      <c r="I33">
        <v>0</v>
      </c>
      <c r="J33">
        <v>0</v>
      </c>
      <c r="K33">
        <v>2854.256969953045</v>
      </c>
      <c r="L33">
        <v>337.1589686132747</v>
      </c>
      <c r="M33">
        <v>0</v>
      </c>
      <c r="N33">
        <f>-I33-J33+K33+L33+M33</f>
        <v>3191.41593856632</v>
      </c>
      <c r="O33">
        <f>N33/((1+$D$1)^((H33-$H$4)/365))</f>
        <v>616.7651343077911</v>
      </c>
    </row>
    <row r="34" spans="1:15">
      <c r="A34" s="1">
        <v>52962</v>
      </c>
      <c r="B34">
        <v>0</v>
      </c>
      <c r="C34">
        <v>3226.48644338573</v>
      </c>
      <c r="D34">
        <v>1316.220722063336</v>
      </c>
      <c r="E34">
        <v>0</v>
      </c>
      <c r="F34">
        <f>-B34+C34-D34+E34</f>
        <v>1910.2657213223938</v>
      </c>
      <c r="G34">
        <f>F34/((1+$B$1)^((A34-$A$4)/365))</f>
        <v>625.094506734461</v>
      </c>
      <c r="H34" s="1">
        <v>52962</v>
      </c>
      <c r="I34">
        <v>0</v>
      </c>
      <c r="J34">
        <v>0</v>
      </c>
      <c r="K34">
        <v>1738.908723157957</v>
      </c>
      <c r="L34">
        <v>340.8640122244096</v>
      </c>
      <c r="M34">
        <v>0</v>
      </c>
      <c r="N34">
        <f>-I34-J34+K34+L34+M34</f>
        <v>2079.7727353823666</v>
      </c>
      <c r="O34">
        <f>N34/((1+$D$1)^((H34-$H$4)/365))</f>
        <v>379.61294074785616</v>
      </c>
    </row>
    <row r="35" spans="1:15">
      <c r="A35" s="1">
        <v>53143</v>
      </c>
      <c r="B35">
        <v>0</v>
      </c>
      <c r="C35">
        <v>3232.248301938821</v>
      </c>
      <c r="D35">
        <v>0</v>
      </c>
      <c r="E35">
        <v>0</v>
      </c>
      <c r="F35">
        <f>-B35+C35-D35+E35</f>
        <v>3232.2483019388214</v>
      </c>
      <c r="G35">
        <f>F35/((1+$B$1)^((A35-$A$4)/365))</f>
        <v>1018.0804455002517</v>
      </c>
      <c r="H35" s="1">
        <v>53143</v>
      </c>
      <c r="I35">
        <v>0</v>
      </c>
      <c r="J35">
        <v>0</v>
      </c>
      <c r="K35">
        <v>2896.023207331641</v>
      </c>
      <c r="L35">
        <v>336.2250946071804</v>
      </c>
      <c r="M35">
        <v>0</v>
      </c>
      <c r="N35">
        <f>-I35-J35+K35+L35+M35</f>
        <v>3232.2483019388214</v>
      </c>
      <c r="O35">
        <f>N35/((1+$D$1)^((H35-$H$4)/365))</f>
        <v>557.7288354012882</v>
      </c>
    </row>
    <row r="36" spans="1:15">
      <c r="A36" s="1">
        <v>53327</v>
      </c>
      <c r="B36">
        <v>0</v>
      </c>
      <c r="C36">
        <v>3285.821478214051</v>
      </c>
      <c r="D36">
        <v>1341.253784274081</v>
      </c>
      <c r="E36">
        <v>0</v>
      </c>
      <c r="F36">
        <f>-B36+C36-D36+E36</f>
        <v>1944.5676939399705</v>
      </c>
      <c r="G36">
        <f>F36/((1+$B$1)^((A36-$A$4)/365))</f>
        <v>589.1843610140722</v>
      </c>
      <c r="H36" s="1">
        <v>53327</v>
      </c>
      <c r="I36">
        <v>0</v>
      </c>
      <c r="J36">
        <v>0</v>
      </c>
      <c r="K36">
        <v>1772.275552918888</v>
      </c>
      <c r="L36">
        <v>341.7978862305039</v>
      </c>
      <c r="M36">
        <v>0</v>
      </c>
      <c r="N36">
        <f>-I36-J36+K36+L36+M36</f>
        <v>2114.0734391493916</v>
      </c>
      <c r="O36">
        <f>N36/((1+$D$1)^((H36-$H$4)/365))</f>
        <v>344.53010415311815</v>
      </c>
    </row>
    <row r="37" spans="1:15">
      <c r="A37" s="1">
        <v>53508</v>
      </c>
      <c r="B37">
        <v>0</v>
      </c>
      <c r="C37">
        <v>3282.691242036537</v>
      </c>
      <c r="D37">
        <v>0</v>
      </c>
      <c r="E37">
        <v>0</v>
      </c>
      <c r="F37">
        <f>-B37+C37-D37+E37</f>
        <v>3282.6912420365375</v>
      </c>
      <c r="G37">
        <f>F37/((1+$B$1)^((A37-$A$4)/365))</f>
        <v>957.3784795806557</v>
      </c>
      <c r="H37" s="1">
        <v>53508</v>
      </c>
      <c r="I37">
        <v>0</v>
      </c>
      <c r="J37">
        <v>0</v>
      </c>
      <c r="K37">
        <v>0</v>
      </c>
      <c r="L37">
        <v>336.2250946071804</v>
      </c>
      <c r="M37">
        <v>2946.466147429357</v>
      </c>
      <c r="N37">
        <f>-I37-J37+K37+L37+M37</f>
        <v>3282.6912420365375</v>
      </c>
      <c r="O37">
        <f>N37/((1+$D$1)^((H37-$H$4)/365))</f>
        <v>505.74360110732533</v>
      </c>
    </row>
    <row r="38" spans="1:15">
      <c r="A38" s="1">
        <v>53692</v>
      </c>
      <c r="B38">
        <v>0</v>
      </c>
      <c r="C38">
        <v>3337.100489142116</v>
      </c>
      <c r="D38">
        <v>1366.685353194267</v>
      </c>
      <c r="E38">
        <v>0</v>
      </c>
      <c r="F38">
        <f>-B38+C38-D38+E38</f>
        <v>1970.4151359478487</v>
      </c>
      <c r="G38">
        <f>F38/((1+$B$1)^((A38-$A$4)/365))</f>
        <v>552.7924766192884</v>
      </c>
      <c r="H38" s="1">
        <v>53692</v>
      </c>
      <c r="I38">
        <v>0</v>
      </c>
      <c r="J38">
        <v>0</v>
      </c>
      <c r="K38">
        <v>0</v>
      </c>
      <c r="L38">
        <v>222.9705391341747</v>
      </c>
      <c r="M38">
        <v>1886.978658958252</v>
      </c>
      <c r="N38">
        <f>-I38-J38+K38+L38+M38</f>
        <v>2109.9491980924267</v>
      </c>
      <c r="O38">
        <f>N38/((1+$D$1)^((H38-$H$4)/365))</f>
        <v>307.0160512988225</v>
      </c>
    </row>
    <row r="39" spans="1:15">
      <c r="A39" s="1">
        <v>53873</v>
      </c>
      <c r="B39">
        <v>0</v>
      </c>
      <c r="C39">
        <v>3333.916944683227</v>
      </c>
      <c r="D39">
        <v>0</v>
      </c>
      <c r="E39">
        <v>0</v>
      </c>
      <c r="F39">
        <f>-B39+C39-D39+E39</f>
        <v>3333.916944683227</v>
      </c>
      <c r="G39">
        <f>F39/((1+$B$1)^((A39-$A$4)/365))</f>
        <v>900.2946002770994</v>
      </c>
      <c r="H39" s="1">
        <v>53873</v>
      </c>
      <c r="I39">
        <v>0</v>
      </c>
      <c r="J39">
        <v>0</v>
      </c>
      <c r="K39">
        <v>0</v>
      </c>
      <c r="L39">
        <v>144.4763800962419</v>
      </c>
      <c r="M39">
        <v>3189.440564586985</v>
      </c>
      <c r="N39">
        <f>-I39-J39+K39+L39+M39</f>
        <v>3333.916944683227</v>
      </c>
      <c r="O39">
        <f>N39/((1+$D$1)^((H39-$H$4)/365))</f>
        <v>458.6032348695016</v>
      </c>
    </row>
    <row r="40" spans="1:15">
      <c r="A40" s="1">
        <v>54057</v>
      </c>
      <c r="B40">
        <v>0</v>
      </c>
      <c r="C40">
        <v>3389.175236584054</v>
      </c>
      <c r="D40">
        <v>1392.500943983</v>
      </c>
      <c r="E40">
        <v>0</v>
      </c>
      <c r="F40">
        <f>-B40+C40-D40+E40</f>
        <v>1996.6742926010547</v>
      </c>
      <c r="G40">
        <f>F40/((1+$B$1)^((A40-$A$4)/365))</f>
        <v>518.6660955595554</v>
      </c>
      <c r="H40" s="1">
        <v>54057</v>
      </c>
      <c r="I40">
        <v>0</v>
      </c>
      <c r="J40">
        <v>0</v>
      </c>
      <c r="K40">
        <v>1566.508337281744</v>
      </c>
      <c r="L40">
        <v>18.24481044763805</v>
      </c>
      <c r="M40">
        <v>452.4018894964597</v>
      </c>
      <c r="N40">
        <f>-I40-J40+K40+L40+M40</f>
        <v>2037.1550372258416</v>
      </c>
      <c r="O40">
        <f>N40/((1+$D$1)^((H40-$H$4)/365))</f>
        <v>264.66416482327173</v>
      </c>
    </row>
    <row r="41" spans="1:15">
      <c r="A41" s="1">
        <v>54239</v>
      </c>
      <c r="B41">
        <v>0</v>
      </c>
      <c r="C41">
        <v>3395.341995667023</v>
      </c>
      <c r="D41">
        <v>0</v>
      </c>
      <c r="E41">
        <v>0</v>
      </c>
      <c r="F41">
        <f>-B41+C41-D41+E41</f>
        <v>3395.341995667023</v>
      </c>
      <c r="G41">
        <f>F41/((1+$B$1)^((A41-$A$4)/365))</f>
        <v>848.7857245199832</v>
      </c>
      <c r="H41" s="1">
        <v>54239</v>
      </c>
      <c r="I41">
        <v>0</v>
      </c>
      <c r="J41">
        <v>0</v>
      </c>
      <c r="K41">
        <v>3395.341995667023</v>
      </c>
      <c r="L41">
        <v>0</v>
      </c>
      <c r="M41">
        <v>0</v>
      </c>
      <c r="N41">
        <f>-I41-J41+K41+L41+M41</f>
        <v>3395.341995667023</v>
      </c>
      <c r="O41">
        <f>N41/((1+$D$1)^((H41-$H$4)/365))</f>
        <v>416.88185819155325</v>
      </c>
    </row>
    <row r="42" spans="1:15">
      <c r="A42" s="1">
        <v>54423</v>
      </c>
      <c r="B42">
        <v>0</v>
      </c>
      <c r="C42">
        <v>3432.653446168859</v>
      </c>
      <c r="D42">
        <v>1418.749112943731</v>
      </c>
      <c r="E42">
        <v>0</v>
      </c>
      <c r="F42">
        <f>-B42+C42-D42+E42</f>
        <v>2013.9043332251276</v>
      </c>
      <c r="G42">
        <f>F42/((1+$B$1)^((A42-$A$4)/365))</f>
        <v>484.2884843317708</v>
      </c>
      <c r="H42" s="1">
        <v>54423</v>
      </c>
      <c r="I42">
        <v>0</v>
      </c>
      <c r="J42">
        <v>0</v>
      </c>
      <c r="K42">
        <v>2013.904333225128</v>
      </c>
      <c r="L42">
        <v>0</v>
      </c>
      <c r="M42">
        <v>0</v>
      </c>
      <c r="N42">
        <f>-I42-J42+K42+L42+M42</f>
        <v>2013.9043332251276</v>
      </c>
      <c r="O42">
        <f>N42/((1+$D$1)^((H42-$H$4)/365))</f>
        <v>233.53771682913134</v>
      </c>
    </row>
    <row r="43" spans="1:15">
      <c r="A43" s="1">
        <v>54604</v>
      </c>
      <c r="B43">
        <v>0</v>
      </c>
      <c r="C43">
        <v>3438.765044630741</v>
      </c>
      <c r="D43">
        <v>0</v>
      </c>
      <c r="E43">
        <v>0</v>
      </c>
      <c r="F43">
        <f>-B43+C43-D43+E43</f>
        <v>3438.765044630741</v>
      </c>
      <c r="G43">
        <f>F43/((1+$B$1)^((A43-$A$4)/365))</f>
        <v>795.9637501813486</v>
      </c>
      <c r="H43" s="1">
        <v>54604</v>
      </c>
      <c r="I43">
        <v>0</v>
      </c>
      <c r="J43">
        <v>0</v>
      </c>
      <c r="K43">
        <v>3438.765044630741</v>
      </c>
      <c r="L43">
        <v>0</v>
      </c>
      <c r="M43">
        <v>0</v>
      </c>
      <c r="N43">
        <f>-I43-J43+K43+L43+M43</f>
        <v>3438.765044630741</v>
      </c>
      <c r="O43">
        <f>N43/((1+$D$1)^((H43-$H$4)/365))</f>
        <v>376.97621674447765</v>
      </c>
    </row>
    <row r="44" spans="1:15">
      <c r="A44" s="1">
        <v>54788</v>
      </c>
      <c r="B44">
        <v>0</v>
      </c>
      <c r="C44">
        <v>3495.761150342853</v>
      </c>
      <c r="D44">
        <v>1445.372313563518</v>
      </c>
      <c r="E44">
        <v>0</v>
      </c>
      <c r="F44">
        <f>-B44+C44-D44+E44</f>
        <v>2050.3888367793347</v>
      </c>
      <c r="G44">
        <f>F44/((1+$B$1)^((A44-$A$4)/365))</f>
        <v>456.5388905927833</v>
      </c>
      <c r="H44" s="1">
        <v>54788</v>
      </c>
      <c r="I44">
        <v>0</v>
      </c>
      <c r="J44">
        <v>0</v>
      </c>
      <c r="K44">
        <v>2050.388836779335</v>
      </c>
      <c r="L44">
        <v>0</v>
      </c>
      <c r="M44">
        <v>0</v>
      </c>
      <c r="N44">
        <f>-I44-J44+K44+L44+M44</f>
        <v>2050.3888367793347</v>
      </c>
      <c r="O44">
        <f>N44/((1+$D$1)^((H44-$H$4)/365))</f>
        <v>212.29335460012638</v>
      </c>
    </row>
    <row r="45" spans="1:15">
      <c r="A45" s="1">
        <v>54969</v>
      </c>
      <c r="B45">
        <v>0</v>
      </c>
      <c r="C45">
        <v>3492.412107730891</v>
      </c>
      <c r="D45">
        <v>0</v>
      </c>
      <c r="E45">
        <v>0</v>
      </c>
      <c r="F45">
        <f>-B45+C45-D45+E45</f>
        <v>3492.4121077308905</v>
      </c>
      <c r="G45">
        <f>F45/((1+$B$1)^((A45-$A$4)/365))</f>
        <v>748.5012255879251</v>
      </c>
      <c r="H45" s="1">
        <v>54969</v>
      </c>
      <c r="I45">
        <v>0</v>
      </c>
      <c r="J45">
        <v>0</v>
      </c>
      <c r="K45">
        <v>3492.412107730891</v>
      </c>
      <c r="L45">
        <v>0</v>
      </c>
      <c r="M45">
        <v>0</v>
      </c>
      <c r="N45">
        <f>-I45-J45+K45+L45+M45</f>
        <v>3492.4121077308905</v>
      </c>
      <c r="O45">
        <f>N45/((1+$D$1)^((H45-$H$4)/365))</f>
        <v>341.8368758732613</v>
      </c>
    </row>
    <row r="46" spans="1:15">
      <c r="A46" s="1">
        <v>55153</v>
      </c>
      <c r="B46">
        <v>0</v>
      </c>
      <c r="C46">
        <v>3550.297391284441</v>
      </c>
      <c r="D46">
        <v>1472.419288882953</v>
      </c>
      <c r="E46">
        <v>0</v>
      </c>
      <c r="F46">
        <f>-B46+C46-D46+E46</f>
        <v>2077.878102401488</v>
      </c>
      <c r="G46">
        <f>F46/((1+$B$1)^((A46-$A$4)/365))</f>
        <v>428.38855671751554</v>
      </c>
      <c r="H46" s="1">
        <v>55153</v>
      </c>
      <c r="I46">
        <v>0</v>
      </c>
      <c r="J46">
        <v>0</v>
      </c>
      <c r="K46">
        <v>2077.878102401488</v>
      </c>
      <c r="L46">
        <v>0</v>
      </c>
      <c r="M46">
        <v>0</v>
      </c>
      <c r="N46">
        <f>-I46-J46+K46+L46+M46</f>
        <v>2077.878102401488</v>
      </c>
      <c r="O46">
        <f>N46/((1+$D$1)^((H46-$H$4)/365))</f>
        <v>192.088875715507</v>
      </c>
    </row>
    <row r="47" spans="1:15">
      <c r="A47" s="1">
        <v>55334</v>
      </c>
      <c r="B47">
        <v>0</v>
      </c>
      <c r="C47">
        <v>3546.891270547386</v>
      </c>
      <c r="D47">
        <v>0</v>
      </c>
      <c r="E47">
        <v>0</v>
      </c>
      <c r="F47">
        <f>-B47+C47-D47+E47</f>
        <v>3546.8912705473863</v>
      </c>
      <c r="G47">
        <f>F47/((1+$B$1)^((A47-$A$4)/365))</f>
        <v>703.8678853471926</v>
      </c>
      <c r="H47" s="1">
        <v>55334</v>
      </c>
      <c r="I47">
        <v>0</v>
      </c>
      <c r="J47">
        <v>0</v>
      </c>
      <c r="K47">
        <v>3546.891270547386</v>
      </c>
      <c r="L47">
        <v>0</v>
      </c>
      <c r="M47">
        <v>0</v>
      </c>
      <c r="N47">
        <f>-I47-J47+K47+L47+M47</f>
        <v>3546.8912705473863</v>
      </c>
      <c r="O47">
        <f>N47/((1+$D$1)^((H47-$H$4)/365))</f>
        <v>309.9725801418097</v>
      </c>
    </row>
    <row r="48" spans="1:15">
      <c r="A48" s="1">
        <v>55518</v>
      </c>
      <c r="B48">
        <v>0</v>
      </c>
      <c r="C48">
        <v>3605.679523650382</v>
      </c>
      <c r="D48">
        <v>1499.874343936863</v>
      </c>
      <c r="E48">
        <v>0</v>
      </c>
      <c r="F48">
        <f>-B48+C48-D48+E48</f>
        <v>2105.805179713519</v>
      </c>
      <c r="G48">
        <f>F48/((1+$B$1)^((A48-$A$4)/365))</f>
        <v>401.9872041504237</v>
      </c>
      <c r="H48" s="1">
        <v>55518</v>
      </c>
      <c r="I48">
        <v>0</v>
      </c>
      <c r="J48">
        <v>0</v>
      </c>
      <c r="K48">
        <v>2105.805179713519</v>
      </c>
      <c r="L48">
        <v>0</v>
      </c>
      <c r="M48">
        <v>0</v>
      </c>
      <c r="N48">
        <f>-I48-J48+K48+L48+M48</f>
        <v>2105.805179713519</v>
      </c>
      <c r="O48">
        <f>N48/((1+$D$1)^((H48-$H$4)/365))</f>
        <v>173.81302390867342</v>
      </c>
    </row>
    <row r="49" spans="1:15">
      <c r="A49" s="1">
        <v>55700</v>
      </c>
      <c r="B49">
        <v>0</v>
      </c>
      <c r="C49">
        <v>3612.220588329394</v>
      </c>
      <c r="D49">
        <v>0</v>
      </c>
      <c r="E49">
        <v>0</v>
      </c>
      <c r="F49">
        <f>-B49+C49-D49+E49</f>
        <v>3612.220588329394</v>
      </c>
      <c r="G49">
        <f>F49/((1+$B$1)^((A49-$A$4)/365))</f>
        <v>663.5936343294685</v>
      </c>
      <c r="H49" s="1">
        <v>55700</v>
      </c>
      <c r="I49">
        <v>0</v>
      </c>
      <c r="J49">
        <v>0</v>
      </c>
      <c r="K49">
        <v>3612.220588329394</v>
      </c>
      <c r="L49">
        <v>0</v>
      </c>
      <c r="M49">
        <v>0</v>
      </c>
      <c r="N49">
        <f>-I49-J49+K49+L49+M49</f>
        <v>3612.220588329394</v>
      </c>
      <c r="O49">
        <f>N49/((1+$D$1)^((H49-$H$4)/365))</f>
        <v>281.7713286877564</v>
      </c>
    </row>
    <row r="50" spans="1:15">
      <c r="A50" s="1">
        <v>55884</v>
      </c>
      <c r="B50">
        <v>0</v>
      </c>
      <c r="C50">
        <v>3651.915320069278</v>
      </c>
      <c r="D50">
        <v>1527.789678928295</v>
      </c>
      <c r="E50">
        <v>0</v>
      </c>
      <c r="F50">
        <f>-B50+C50-D50+E50</f>
        <v>2124.1256411409836</v>
      </c>
      <c r="G50">
        <f>F50/((1+$B$1)^((A50-$A$4)/365))</f>
        <v>375.3694409511183</v>
      </c>
      <c r="H50" s="1">
        <v>55884</v>
      </c>
      <c r="I50">
        <v>0</v>
      </c>
      <c r="J50">
        <v>0</v>
      </c>
      <c r="K50">
        <v>2124.125641140984</v>
      </c>
      <c r="L50">
        <v>0</v>
      </c>
      <c r="M50">
        <v>0</v>
      </c>
      <c r="N50">
        <f>-I50-J50+K50+L50+M50</f>
        <v>2124.1256411409836</v>
      </c>
      <c r="O50">
        <f>N50/((1+$D$1)^((H50-$H$4)/365))</f>
        <v>156.49175484360327</v>
      </c>
    </row>
    <row r="51" spans="1:15">
      <c r="A51" s="1">
        <v>56065</v>
      </c>
      <c r="B51">
        <v>0</v>
      </c>
      <c r="C51">
        <v>3658.397321632615</v>
      </c>
      <c r="D51">
        <v>0</v>
      </c>
      <c r="E51">
        <v>0</v>
      </c>
      <c r="F51">
        <f>-B51+C51-D51+E51</f>
        <v>3658.397321632615</v>
      </c>
      <c r="G51">
        <f>F51/((1+$B$1)^((A51-$A$4)/365))</f>
        <v>622.2932104441268</v>
      </c>
      <c r="H51" s="1">
        <v>56065</v>
      </c>
      <c r="I51">
        <v>0</v>
      </c>
      <c r="J51">
        <v>0</v>
      </c>
      <c r="K51">
        <v>3658.397321632615</v>
      </c>
      <c r="L51">
        <v>0</v>
      </c>
      <c r="M51">
        <v>0</v>
      </c>
      <c r="N51">
        <f>-I51-J51+K51+L51+M51</f>
        <v>3658.397321632615</v>
      </c>
      <c r="O51">
        <f>N51/((1+$D$1)^((H51-$H$4)/365))</f>
        <v>254.7976299622788</v>
      </c>
    </row>
    <row r="52" spans="1:15">
      <c r="A52" s="1">
        <v>56249</v>
      </c>
      <c r="B52">
        <v>0</v>
      </c>
      <c r="C52">
        <v>3719.033741328184</v>
      </c>
      <c r="D52">
        <v>1556.103235020319</v>
      </c>
      <c r="E52">
        <v>0</v>
      </c>
      <c r="F52">
        <f>-B52+C52-D52+E52</f>
        <v>2162.930506307865</v>
      </c>
      <c r="G52">
        <f>F52/((1+$B$1)^((A52-$A$4)/365))</f>
        <v>353.9138206832683</v>
      </c>
      <c r="H52" s="1">
        <v>56249</v>
      </c>
      <c r="I52">
        <v>0</v>
      </c>
      <c r="J52">
        <v>0</v>
      </c>
      <c r="K52">
        <v>2162.930506307865</v>
      </c>
      <c r="L52">
        <v>0</v>
      </c>
      <c r="M52">
        <v>0</v>
      </c>
      <c r="N52">
        <f>-I52-J52+K52+L52+M52</f>
        <v>2162.930506307865</v>
      </c>
      <c r="O52">
        <f>N52/((1+$D$1)^((H52-$H$4)/365))</f>
        <v>142.27736142220408</v>
      </c>
    </row>
    <row r="53" spans="1:15">
      <c r="A53" s="1">
        <v>56430</v>
      </c>
      <c r="B53">
        <v>0</v>
      </c>
      <c r="C53">
        <v>3715.450413772283</v>
      </c>
      <c r="D53">
        <v>0</v>
      </c>
      <c r="E53">
        <v>0</v>
      </c>
      <c r="F53">
        <f>-B53+C53-D53+E53</f>
        <v>3715.4504137722834</v>
      </c>
      <c r="G53">
        <f>F53/((1+$B$1)^((A53-$A$4)/365))</f>
        <v>585.1832765778452</v>
      </c>
      <c r="H53" s="1">
        <v>56430</v>
      </c>
      <c r="I53">
        <v>0</v>
      </c>
      <c r="J53">
        <v>0</v>
      </c>
      <c r="K53">
        <v>3715.450413772283</v>
      </c>
      <c r="L53">
        <v>0</v>
      </c>
      <c r="M53">
        <v>0</v>
      </c>
      <c r="N53">
        <f>-I53-J53+K53+L53+M53</f>
        <v>3715.4504137722834</v>
      </c>
      <c r="O53">
        <f>N53/((1+$D$1)^((H53-$H$4)/365))</f>
        <v>231.04573739201894</v>
      </c>
    </row>
    <row r="54" spans="1:15">
      <c r="A54" s="1">
        <v>56614</v>
      </c>
      <c r="B54">
        <v>0</v>
      </c>
      <c r="C54">
        <v>3777.032464829283</v>
      </c>
      <c r="D54">
        <v>1584.86741063405</v>
      </c>
      <c r="E54">
        <v>0</v>
      </c>
      <c r="F54">
        <f>-B54+C54-D54+E54</f>
        <v>2192.165054195233</v>
      </c>
      <c r="G54">
        <f>F54/((1+$B$1)^((A54-$A$4)/365))</f>
        <v>332.1272054862108</v>
      </c>
      <c r="H54" s="1">
        <v>56614</v>
      </c>
      <c r="I54">
        <v>0</v>
      </c>
      <c r="J54">
        <v>0</v>
      </c>
      <c r="K54">
        <v>2192.165054195233</v>
      </c>
      <c r="L54">
        <v>0</v>
      </c>
      <c r="M54">
        <v>0</v>
      </c>
      <c r="N54">
        <f>-I54-J54+K54+L54+M54</f>
        <v>2192.165054195233</v>
      </c>
      <c r="O54">
        <f>N54/((1+$D$1)^((H54-$H$4)/365))</f>
        <v>128.7503635540763</v>
      </c>
    </row>
    <row r="55" spans="1:15">
      <c r="A55" s="1">
        <v>56795</v>
      </c>
      <c r="B55">
        <v>0</v>
      </c>
      <c r="C55">
        <v>3773.388019274399</v>
      </c>
      <c r="D55">
        <v>0</v>
      </c>
      <c r="E55">
        <v>0</v>
      </c>
      <c r="F55">
        <f>-B55+C55-D55+E55</f>
        <v>3773.388019274399</v>
      </c>
      <c r="G55">
        <f>F55/((1+$B$1)^((A55-$A$4)/365))</f>
        <v>550.2855989754032</v>
      </c>
      <c r="H55" s="1">
        <v>56795</v>
      </c>
      <c r="I55">
        <v>0</v>
      </c>
      <c r="J55">
        <v>0</v>
      </c>
      <c r="K55">
        <v>3773.388019274399</v>
      </c>
      <c r="L55">
        <v>0</v>
      </c>
      <c r="M55">
        <v>0</v>
      </c>
      <c r="N55">
        <f>-I55-J55+K55+L55+M55</f>
        <v>3773.388019274399</v>
      </c>
      <c r="O55">
        <f>N55/((1+$D$1)^((H55-$H$4)/365))</f>
        <v>209.50767362547376</v>
      </c>
    </row>
    <row r="56" spans="1:15">
      <c r="A56" s="1">
        <v>56979</v>
      </c>
      <c r="B56">
        <v>0</v>
      </c>
      <c r="C56">
        <v>3835.930362135301</v>
      </c>
      <c r="D56">
        <v>1609.574354451916</v>
      </c>
      <c r="E56">
        <v>0</v>
      </c>
      <c r="F56">
        <f>-B56+C56-D56+E56</f>
        <v>2226.3560076833846</v>
      </c>
      <c r="G56">
        <f>F56/((1+$B$1)^((A56-$A$4)/365))</f>
        <v>312.32162630738907</v>
      </c>
      <c r="H56" s="1">
        <v>56979</v>
      </c>
      <c r="I56">
        <v>0</v>
      </c>
      <c r="J56">
        <v>0</v>
      </c>
      <c r="K56">
        <v>2226.356007683385</v>
      </c>
      <c r="L56">
        <v>0</v>
      </c>
      <c r="M56">
        <v>0</v>
      </c>
      <c r="N56">
        <f>-I56-J56+K56+L56+M56</f>
        <v>2226.3560076833846</v>
      </c>
      <c r="O56">
        <f>N56/((1+$D$1)^((H56-$H$4)/365))</f>
        <v>116.74863267247545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7">
      <c r="A1" t="s">
        <v>16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9</v>
      </c>
    </row>
    <row r="2" spans="1:7">
      <c r="A2" s="1">
        <v>47908</v>
      </c>
      <c r="B2">
        <v>3</v>
      </c>
      <c r="C2">
        <v>26925.86178141316</v>
      </c>
      <c r="D2">
        <v>25</v>
      </c>
      <c r="E2">
        <f>SUMPRODUCT(('1_sol_BASE_Inputs'!$C$12:$C$61&gt;=B2)*('1_sol_BASE_Inputs'!$C$12:$C$61&lt;=D2)*'1_sol_BASE_Inputs'!$L$12:$L$61/((1+'1_sol_BASE_Inputs'!$B$2)^(('1_sol_BASE_Inputs'!$A$12:$A$61-A2)/365)))/C2</f>
        <v>1.3558182803862655</v>
      </c>
      <c r="F2">
        <v>1.355818280386266</v>
      </c>
      <c r="G2">
        <f>E2-F2</f>
        <v>-6.661338147750939e-16</v>
      </c>
    </row>
    <row r="3" spans="1:7">
      <c r="A3" s="1">
        <v>48029</v>
      </c>
      <c r="B3">
        <v>4</v>
      </c>
      <c r="C3">
        <v>26350.11875634989</v>
      </c>
      <c r="D3">
        <v>25</v>
      </c>
      <c r="E3">
        <f>SUMPRODUCT(('1_sol_BASE_Inputs'!$C$12:$C$61&gt;=B3)*('1_sol_BASE_Inputs'!$C$12:$C$61&lt;=D3)*'1_sol_BASE_Inputs'!$L$12:$L$61/((1+'1_sol_BASE_Inputs'!$B$2)^(('1_sol_BASE_Inputs'!$A$12:$A$61-A3)/365)))/C3</f>
        <v>1.3553972126663858</v>
      </c>
      <c r="F3">
        <v>1.355397212666386</v>
      </c>
      <c r="G3">
        <f>E3-F3</f>
        <v>-6.661338147750939e-16</v>
      </c>
    </row>
    <row r="4" spans="1:7">
      <c r="A4" s="1">
        <v>48213</v>
      </c>
      <c r="B4">
        <v>5</v>
      </c>
      <c r="C4">
        <v>25471.80446610792</v>
      </c>
      <c r="D4">
        <v>25</v>
      </c>
      <c r="E4">
        <f>SUMPRODUCT(('1_sol_BASE_Inputs'!$C$12:$C$61&gt;=B4)*('1_sol_BASE_Inputs'!$C$12:$C$61&lt;=D4)*'1_sol_BASE_Inputs'!$L$12:$L$61/((1+'1_sol_BASE_Inputs'!$B$2)^(('1_sol_BASE_Inputs'!$A$12:$A$61-A4)/365)))/C4</f>
        <v>1.3583440663891158</v>
      </c>
      <c r="F4">
        <v>1.358344066389116</v>
      </c>
      <c r="G4">
        <f>E4-F4</f>
        <v>-2.220446049250313e-16</v>
      </c>
    </row>
    <row r="5" spans="1:7">
      <c r="A5" s="1">
        <v>48395</v>
      </c>
      <c r="B5">
        <v>6</v>
      </c>
      <c r="C5">
        <v>24558.20768291785</v>
      </c>
      <c r="D5">
        <v>25</v>
      </c>
      <c r="E5">
        <f>SUMPRODUCT(('1_sol_BASE_Inputs'!$C$12:$C$61&gt;=B5)*('1_sol_BASE_Inputs'!$C$12:$C$61&lt;=D5)*'1_sol_BASE_Inputs'!$L$12:$L$61/((1+'1_sol_BASE_Inputs'!$B$2)^(('1_sol_BASE_Inputs'!$A$12:$A$61-A5)/365)))/C5</f>
        <v>1.3580685814504474</v>
      </c>
      <c r="F5">
        <v>1.358068581450448</v>
      </c>
      <c r="G5">
        <f>E5-F5</f>
        <v>-6.661338147750939e-16</v>
      </c>
    </row>
    <row r="6" spans="1:7">
      <c r="A6" s="1">
        <v>48579</v>
      </c>
      <c r="B6">
        <v>7</v>
      </c>
      <c r="C6">
        <v>23616.95341666586</v>
      </c>
      <c r="D6">
        <v>25</v>
      </c>
      <c r="E6">
        <f>SUMPRODUCT(('1_sol_BASE_Inputs'!$C$12:$C$61&gt;=B6)*('1_sol_BASE_Inputs'!$C$12:$C$61&lt;=D6)*'1_sol_BASE_Inputs'!$L$12:$L$61/((1+'1_sol_BASE_Inputs'!$B$2)^(('1_sol_BASE_Inputs'!$A$12:$A$61-A6)/365)))/C6</f>
        <v>1.3632939778670303</v>
      </c>
      <c r="F6">
        <v>1.363293977867031</v>
      </c>
      <c r="G6">
        <f>E6-F6</f>
        <v>-2.220446049250313e-16</v>
      </c>
    </row>
    <row r="7" spans="1:7">
      <c r="A7" s="1">
        <v>48760</v>
      </c>
      <c r="B7">
        <v>8</v>
      </c>
      <c r="C7">
        <v>22627.57068788855</v>
      </c>
      <c r="D7">
        <v>25</v>
      </c>
      <c r="E7">
        <f>SUMPRODUCT(('1_sol_BASE_Inputs'!$C$12:$C$61&gt;=B7)*('1_sol_BASE_Inputs'!$C$12:$C$61&lt;=D7)*'1_sol_BASE_Inputs'!$L$12:$L$61/((1+'1_sol_BASE_Inputs'!$B$2)^(('1_sol_BASE_Inputs'!$A$12:$A$61-A7)/365)))/C7</f>
        <v>1.3634433626639937</v>
      </c>
      <c r="F7">
        <v>1.363443362663994</v>
      </c>
      <c r="G7">
        <f>E7-F7</f>
        <v>-4.440892098500626e-16</v>
      </c>
    </row>
    <row r="8" spans="1:7">
      <c r="A8" s="1">
        <v>48944</v>
      </c>
      <c r="B8">
        <v>9</v>
      </c>
      <c r="C8">
        <v>21647.00123345835</v>
      </c>
      <c r="D8">
        <v>25</v>
      </c>
      <c r="E8">
        <f>SUMPRODUCT(('1_sol_BASE_Inputs'!$C$12:$C$61&gt;=B8)*('1_sol_BASE_Inputs'!$C$12:$C$61&lt;=D8)*'1_sol_BASE_Inputs'!$L$12:$L$61/((1+'1_sol_BASE_Inputs'!$B$2)^(('1_sol_BASE_Inputs'!$A$12:$A$61-A8)/365)))/C8</f>
        <v>1.3688768639123838</v>
      </c>
      <c r="F8">
        <v>1.368876863912384</v>
      </c>
      <c r="G8">
        <f>E8-F8</f>
        <v>-2.220446049250313e-16</v>
      </c>
    </row>
    <row r="9" spans="1:7">
      <c r="A9" s="1">
        <v>49125</v>
      </c>
      <c r="B9">
        <v>10</v>
      </c>
      <c r="C9">
        <v>20577.66251210264</v>
      </c>
      <c r="D9">
        <v>25</v>
      </c>
      <c r="E9">
        <f>SUMPRODUCT(('1_sol_BASE_Inputs'!$C$12:$C$61&gt;=B9)*('1_sol_BASE_Inputs'!$C$12:$C$61&lt;=D9)*'1_sol_BASE_Inputs'!$L$12:$L$61/((1+'1_sol_BASE_Inputs'!$B$2)^(('1_sol_BASE_Inputs'!$A$12:$A$61-A9)/365)))/C9</f>
        <v>1.3696026667680528</v>
      </c>
      <c r="F9">
        <v>1.369602666768054</v>
      </c>
      <c r="G9">
        <f>E9-F9</f>
        <v>-8.881784197001252e-16</v>
      </c>
    </row>
    <row r="10" spans="1:7">
      <c r="A10" s="1">
        <v>49309</v>
      </c>
      <c r="B10">
        <v>11</v>
      </c>
      <c r="C10">
        <v>19549.76916056789</v>
      </c>
      <c r="D10">
        <v>25</v>
      </c>
      <c r="E10">
        <f>SUMPRODUCT(('1_sol_BASE_Inputs'!$C$12:$C$61&gt;=B10)*('1_sol_BASE_Inputs'!$C$12:$C$61&lt;=D10)*'1_sol_BASE_Inputs'!$L$12:$L$61/((1+'1_sol_BASE_Inputs'!$B$2)^(('1_sol_BASE_Inputs'!$A$12:$A$61-A10)/365)))/C10</f>
        <v>1.37604134954229</v>
      </c>
      <c r="F10">
        <v>1.37604134954229</v>
      </c>
      <c r="G10">
        <f>E10-F10</f>
        <v>-2.220446049250313e-16</v>
      </c>
    </row>
    <row r="11" spans="1:7">
      <c r="A11" s="1">
        <v>49490</v>
      </c>
      <c r="B11">
        <v>12</v>
      </c>
      <c r="C11">
        <v>18396.56247264031</v>
      </c>
      <c r="D11">
        <v>25</v>
      </c>
      <c r="E11">
        <f>SUMPRODUCT(('1_sol_BASE_Inputs'!$C$12:$C$61&gt;=B11)*('1_sol_BASE_Inputs'!$C$12:$C$61&lt;=D11)*'1_sol_BASE_Inputs'!$L$12:$L$61/((1+'1_sol_BASE_Inputs'!$B$2)^(('1_sol_BASE_Inputs'!$A$12:$A$61-A11)/365)))/C11</f>
        <v>1.3776495465231944</v>
      </c>
      <c r="F11">
        <v>1.377649546523195</v>
      </c>
      <c r="G11">
        <f>E11-F11</f>
        <v>-4.440892098500626e-16</v>
      </c>
    </row>
    <row r="12" spans="1:7">
      <c r="A12" s="1">
        <v>49674</v>
      </c>
      <c r="B12">
        <v>13</v>
      </c>
      <c r="C12">
        <v>17319.29684217019</v>
      </c>
      <c r="D12">
        <v>25</v>
      </c>
      <c r="E12">
        <f>SUMPRODUCT(('1_sol_BASE_Inputs'!$C$12:$C$61&gt;=B12)*('1_sol_BASE_Inputs'!$C$12:$C$61&lt;=D12)*'1_sol_BASE_Inputs'!$L$12:$L$61/((1+'1_sol_BASE_Inputs'!$B$2)^(('1_sol_BASE_Inputs'!$A$12:$A$61-A12)/365)))/C12</f>
        <v>1.3855494977324363</v>
      </c>
      <c r="F12">
        <v>1.385549497732437</v>
      </c>
      <c r="G12">
        <f>E12-F12</f>
        <v>-4.440892098500626e-16</v>
      </c>
    </row>
    <row r="13" spans="1:7">
      <c r="A13" s="1">
        <v>49856</v>
      </c>
      <c r="B13">
        <v>14</v>
      </c>
      <c r="C13">
        <v>16076.00783905546</v>
      </c>
      <c r="D13">
        <v>25</v>
      </c>
      <c r="E13">
        <f>SUMPRODUCT(('1_sol_BASE_Inputs'!$C$12:$C$61&gt;=B13)*('1_sol_BASE_Inputs'!$C$12:$C$61&lt;=D13)*'1_sol_BASE_Inputs'!$L$12:$L$61/((1+'1_sol_BASE_Inputs'!$B$2)^(('1_sol_BASE_Inputs'!$A$12:$A$61-A13)/365)))/C13</f>
        <v>1.3885920520115214</v>
      </c>
      <c r="F13">
        <v>1.388592052011522</v>
      </c>
      <c r="G13">
        <f>E13-F13</f>
        <v>-4.440892098500626e-16</v>
      </c>
    </row>
    <row r="14" spans="1:7">
      <c r="A14" s="1">
        <v>50040</v>
      </c>
      <c r="B14">
        <v>15</v>
      </c>
      <c r="C14">
        <v>15075.37840665659</v>
      </c>
      <c r="D14">
        <v>25</v>
      </c>
      <c r="E14">
        <f>SUMPRODUCT(('1_sol_BASE_Inputs'!$C$12:$C$61&gt;=B14)*('1_sol_BASE_Inputs'!$C$12:$C$61&lt;=D14)*'1_sol_BASE_Inputs'!$L$12:$L$61/((1+'1_sol_BASE_Inputs'!$B$2)^(('1_sol_BASE_Inputs'!$A$12:$A$61-A14)/365)))/C14</f>
        <v>1.3971135111396</v>
      </c>
      <c r="F14">
        <v>1.3971135111396</v>
      </c>
      <c r="G14">
        <f>E14-F14</f>
        <v>-2.220446049250313e-16</v>
      </c>
    </row>
    <row r="15" spans="1:7">
      <c r="A15" s="1">
        <v>50221</v>
      </c>
      <c r="B15">
        <v>16</v>
      </c>
      <c r="C15">
        <v>13745.49403582312</v>
      </c>
      <c r="D15">
        <v>25</v>
      </c>
      <c r="E15">
        <f>SUMPRODUCT(('1_sol_BASE_Inputs'!$C$12:$C$61&gt;=B15)*('1_sol_BASE_Inputs'!$C$12:$C$61&lt;=D15)*'1_sol_BASE_Inputs'!$L$12:$L$61/((1+'1_sol_BASE_Inputs'!$B$2)^(('1_sol_BASE_Inputs'!$A$12:$A$61-A15)/365)))/C15</f>
        <v>1.4023588620339429</v>
      </c>
      <c r="F15">
        <v>1.402358862033943</v>
      </c>
      <c r="G15">
        <f>E15-F15</f>
        <v>-4.440892098500626e-16</v>
      </c>
    </row>
    <row r="16" spans="1:7">
      <c r="A16" s="1">
        <v>50405</v>
      </c>
      <c r="B16">
        <v>17</v>
      </c>
      <c r="C16">
        <v>12688.03245995444</v>
      </c>
      <c r="D16">
        <v>25</v>
      </c>
      <c r="E16">
        <f>SUMPRODUCT(('1_sol_BASE_Inputs'!$C$12:$C$61&gt;=B16)*('1_sol_BASE_Inputs'!$C$12:$C$61&lt;=D16)*'1_sol_BASE_Inputs'!$L$12:$L$61/((1+'1_sol_BASE_Inputs'!$B$2)^(('1_sol_BASE_Inputs'!$A$12:$A$61-A16)/365)))/C16</f>
        <v>1.4138844912846416</v>
      </c>
      <c r="F16">
        <v>1.413884491284642</v>
      </c>
      <c r="G16">
        <f>E16-F16</f>
        <v>-2.220446049250313e-16</v>
      </c>
    </row>
    <row r="17" spans="1:7">
      <c r="A17" s="1">
        <v>50586</v>
      </c>
      <c r="B17">
        <v>18</v>
      </c>
      <c r="C17">
        <v>11265.04443712087</v>
      </c>
      <c r="D17">
        <v>25</v>
      </c>
      <c r="E17">
        <f>SUMPRODUCT(('1_sol_BASE_Inputs'!$C$12:$C$61&gt;=B17)*('1_sol_BASE_Inputs'!$C$12:$C$61&lt;=D17)*'1_sol_BASE_Inputs'!$L$12:$L$61/((1+'1_sol_BASE_Inputs'!$B$2)^(('1_sol_BASE_Inputs'!$A$12:$A$61-A17)/365)))/C17</f>
        <v>1.4232441665868032</v>
      </c>
      <c r="F17">
        <v>1.423244166586803</v>
      </c>
      <c r="G17">
        <f>E17-F17</f>
        <v>-2.220446049250313e-16</v>
      </c>
    </row>
    <row r="18" spans="1:7">
      <c r="A18" s="1">
        <v>50770</v>
      </c>
      <c r="B18">
        <v>19</v>
      </c>
      <c r="C18">
        <v>10152.25999479095</v>
      </c>
      <c r="D18">
        <v>25</v>
      </c>
      <c r="E18">
        <f>SUMPRODUCT(('1_sol_BASE_Inputs'!$C$12:$C$61&gt;=B18)*('1_sol_BASE_Inputs'!$C$12:$C$61&lt;=D18)*'1_sol_BASE_Inputs'!$L$12:$L$61/((1+'1_sol_BASE_Inputs'!$B$2)^(('1_sol_BASE_Inputs'!$A$12:$A$61-A18)/365)))/C18</f>
        <v>1.4403366715420498</v>
      </c>
      <c r="F18">
        <v>1.44033667154205</v>
      </c>
      <c r="G18">
        <f>E18-F18</f>
        <v>0.0</v>
      </c>
    </row>
    <row r="19" spans="1:7">
      <c r="A19" s="1">
        <v>50951</v>
      </c>
      <c r="B19">
        <v>20</v>
      </c>
      <c r="C19">
        <v>8631.647121326681</v>
      </c>
      <c r="D19">
        <v>25</v>
      </c>
      <c r="E19">
        <f>SUMPRODUCT(('1_sol_BASE_Inputs'!$C$12:$C$61&gt;=B19)*('1_sol_BASE_Inputs'!$C$12:$C$61&lt;=D19)*'1_sol_BASE_Inputs'!$L$12:$L$61/((1+'1_sol_BASE_Inputs'!$B$2)^(('1_sol_BASE_Inputs'!$A$12:$A$61-A19)/365)))/C19</f>
        <v>1.458560109177723</v>
      </c>
      <c r="F19">
        <v>1.458560109177723</v>
      </c>
      <c r="G19">
        <f>E19-F19</f>
        <v>-4.440892098500626e-16</v>
      </c>
    </row>
    <row r="20" spans="1:7">
      <c r="A20" s="1">
        <v>51135</v>
      </c>
      <c r="B20">
        <v>21</v>
      </c>
      <c r="C20">
        <v>7460.773717972776</v>
      </c>
      <c r="D20">
        <v>25</v>
      </c>
      <c r="E20">
        <f>SUMPRODUCT(('1_sol_BASE_Inputs'!$C$12:$C$61&gt;=B20)*('1_sol_BASE_Inputs'!$C$12:$C$61&lt;=D20)*'1_sol_BASE_Inputs'!$L$12:$L$61/((1+'1_sol_BASE_Inputs'!$B$2)^(('1_sol_BASE_Inputs'!$A$12:$A$61-A20)/365)))/C20</f>
        <v>1.4880953437025044</v>
      </c>
      <c r="F20">
        <v>1.488095343702505</v>
      </c>
      <c r="G20">
        <f>E20-F20</f>
        <v>-2.220446049250313e-16</v>
      </c>
    </row>
    <row r="21" spans="1:7">
      <c r="A21" s="1">
        <v>51317</v>
      </c>
      <c r="B21">
        <v>22</v>
      </c>
      <c r="C21">
        <v>5833.865907760146</v>
      </c>
      <c r="D21">
        <v>25</v>
      </c>
      <c r="E21">
        <f>SUMPRODUCT(('1_sol_BASE_Inputs'!$C$12:$C$61&gt;=B21)*('1_sol_BASE_Inputs'!$C$12:$C$61&lt;=D21)*'1_sol_BASE_Inputs'!$L$12:$L$61/((1+'1_sol_BASE_Inputs'!$B$2)^(('1_sol_BASE_Inputs'!$A$12:$A$61-A21)/365)))/C21</f>
        <v>1.5310311965766128</v>
      </c>
      <c r="F21">
        <v>1.531031196576613</v>
      </c>
      <c r="G21">
        <f>E21-F21</f>
        <v>-4.440892098500626e-16</v>
      </c>
    </row>
    <row r="22" spans="1:7">
      <c r="A22" s="1">
        <v>51501</v>
      </c>
      <c r="B22">
        <v>23</v>
      </c>
      <c r="C22">
        <v>4606.781245099653</v>
      </c>
      <c r="D22">
        <v>25</v>
      </c>
      <c r="E22">
        <f>SUMPRODUCT(('1_sol_BASE_Inputs'!$C$12:$C$61&gt;=B22)*('1_sol_BASE_Inputs'!$C$12:$C$61&lt;=D22)*'1_sol_BASE_Inputs'!$L$12:$L$61/((1+'1_sol_BASE_Inputs'!$B$2)^(('1_sol_BASE_Inputs'!$A$12:$A$61-A22)/365)))/C22</f>
        <v>1.5997802846594547</v>
      </c>
      <c r="F22">
        <v>1.599780284659455</v>
      </c>
      <c r="G22">
        <f>E22-F22</f>
        <v>0.0</v>
      </c>
    </row>
    <row r="23" spans="1:7">
      <c r="A23" s="1">
        <v>51682</v>
      </c>
      <c r="B23">
        <v>24</v>
      </c>
      <c r="C23">
        <v>2876.537222269904</v>
      </c>
      <c r="D23">
        <v>25</v>
      </c>
      <c r="E23">
        <f>SUMPRODUCT(('1_sol_BASE_Inputs'!$C$12:$C$61&gt;=B23)*('1_sol_BASE_Inputs'!$C$12:$C$61&lt;=D23)*'1_sol_BASE_Inputs'!$L$12:$L$61/((1+'1_sol_BASE_Inputs'!$B$2)^(('1_sol_BASE_Inputs'!$A$12:$A$61-A23)/365)))/C23</f>
        <v>1.7610624727326973</v>
      </c>
      <c r="F23">
        <v>1.761062472732698</v>
      </c>
      <c r="G23">
        <f>E23-F23</f>
        <v>-2.220446049250313e-16</v>
      </c>
    </row>
    <row r="24" spans="1:7">
      <c r="A24" s="1">
        <v>51866</v>
      </c>
      <c r="B24">
        <v>25</v>
      </c>
      <c r="C24">
        <v>1274.955447517944</v>
      </c>
      <c r="D24">
        <v>25</v>
      </c>
      <c r="E24">
        <f>SUMPRODUCT(('1_sol_BASE_Inputs'!$C$12:$C$61&gt;=B24)*('1_sol_BASE_Inputs'!$C$12:$C$61&lt;=D24)*'1_sol_BASE_Inputs'!$L$12:$L$61/((1+'1_sol_BASE_Inputs'!$B$2)^(('1_sol_BASE_Inputs'!$A$12:$A$61-A24)/365)))/C24</f>
        <v>2.356674575936648</v>
      </c>
      <c r="F24">
        <v>2.356674575936648</v>
      </c>
      <c r="G24">
        <f>E24-F24</f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1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6" width="21.7109375" customWidth="1"/>
  </cols>
  <sheetData>
    <row r="1" spans="1:16">
      <c r="A1" t="s">
        <v>12</v>
      </c>
      <c r="B1" t="s">
        <v>65</v>
      </c>
      <c r="C1" t="s">
        <v>66</v>
      </c>
    </row>
    <row r="2" spans="1:16">
      <c r="A2" t="s">
        <v>15</v>
      </c>
      <c r="B2">
        <v>0.055</v>
      </c>
    </row>
    <row r="3" spans="1:16">
      <c r="A3" t="s">
        <v>16</v>
      </c>
      <c r="B3" s="1">
        <v>47908</v>
      </c>
    </row>
    <row r="4" spans="1:16">
      <c r="A4" t="s">
        <v>17</v>
      </c>
      <c r="B4" s="1">
        <v>53327</v>
      </c>
    </row>
    <row r="5" spans="1:16">
      <c r="A5" t="s">
        <v>18</v>
      </c>
      <c r="B5" s="1">
        <v>52047</v>
      </c>
    </row>
    <row r="6" spans="1:16">
      <c r="A6" t="s">
        <v>19</v>
      </c>
      <c r="B6" s="1">
        <v>56979</v>
      </c>
    </row>
    <row r="8" spans="1:16">
      <c r="A8" t="s">
        <v>20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</row>
    <row r="12" spans="1:16">
      <c r="A12" s="1">
        <v>48029</v>
      </c>
      <c r="B12" s="1">
        <v>47908</v>
      </c>
      <c r="C12">
        <v>3</v>
      </c>
      <c r="D12">
        <v>1445.442630136986</v>
      </c>
      <c r="E12">
        <v>1288.196997260274</v>
      </c>
      <c r="F12">
        <v>1445.442630136986</v>
      </c>
      <c r="G12">
        <v>0</v>
      </c>
      <c r="H12">
        <v>0</v>
      </c>
      <c r="I12">
        <f>F12+G12-H12</f>
        <v>1445.4426301369863</v>
      </c>
      <c r="J12">
        <f>I12-D12</f>
        <v>0.0</v>
      </c>
      <c r="K12">
        <v>26925.86178141316</v>
      </c>
      <c r="L12">
        <f>E12</f>
        <v>1288.1969972602737</v>
      </c>
      <c r="M12">
        <f>(1+$B$2)^((A12-$B$3)/365)</f>
        <v>1.017907582851968</v>
      </c>
      <c r="N12">
        <f>IF(A12&lt;=$B$4,L12/M12,0)</f>
        <v>1265.534336281306</v>
      </c>
      <c r="O12">
        <f>IF(A12&lt;=$B$5,L12/M12,0)</f>
        <v>1265.534336281306</v>
      </c>
      <c r="P12">
        <f>IF(A12&lt;=$B$6,L12/M12,0)</f>
        <v>1265.534336281306</v>
      </c>
    </row>
    <row r="13" spans="1:16">
      <c r="A13" s="1">
        <v>48213</v>
      </c>
      <c r="B13" s="1">
        <v>48029</v>
      </c>
      <c r="C13">
        <v>4</v>
      </c>
      <c r="D13">
        <v>2092.489052227824</v>
      </c>
      <c r="E13">
        <v>1942.854487671233</v>
      </c>
      <c r="F13">
        <v>2180.011835616438</v>
      </c>
      <c r="G13">
        <v>0</v>
      </c>
      <c r="H13">
        <v>87.5227833886143</v>
      </c>
      <c r="I13">
        <f>F13+G13-H13</f>
        <v>2092.4890522278242</v>
      </c>
      <c r="J13">
        <f>I13-D13</f>
        <v>0.0</v>
      </c>
      <c r="K13">
        <v>26350.11875634989</v>
      </c>
      <c r="L13">
        <f>E13</f>
        <v>1942.854487671233</v>
      </c>
      <c r="M13">
        <f>(1+$B$2)^((A13-$B$3)/365)</f>
        <v>1.045755452164739</v>
      </c>
      <c r="N13">
        <f>IF(A13&lt;=$B$4,L13/M13,0)</f>
        <v>1857.8478205870001</v>
      </c>
      <c r="O13">
        <f>IF(A13&lt;=$B$5,L13/M13,0)</f>
        <v>1857.8478205870001</v>
      </c>
      <c r="P13">
        <f>IF(A13&lt;=$B$6,L13/M13,0)</f>
        <v>1857.8478205870001</v>
      </c>
    </row>
    <row r="14" spans="1:16">
      <c r="A14" s="1">
        <v>48395</v>
      </c>
      <c r="B14" s="1">
        <v>48213</v>
      </c>
      <c r="C14">
        <v>5</v>
      </c>
      <c r="D14">
        <v>2183.88827467541</v>
      </c>
      <c r="E14">
        <v>1946.225348847213</v>
      </c>
      <c r="F14">
        <v>2183.88827467541</v>
      </c>
      <c r="G14">
        <v>0</v>
      </c>
      <c r="H14">
        <v>0</v>
      </c>
      <c r="I14">
        <f>F14+G14-H14</f>
        <v>2183.88827467541</v>
      </c>
      <c r="J14">
        <f>I14-D14</f>
        <v>0.0</v>
      </c>
      <c r="K14">
        <v>25471.80446610792</v>
      </c>
      <c r="L14">
        <f>E14</f>
        <v>1946.2253488472131</v>
      </c>
      <c r="M14">
        <f>(1+$B$2)^((A14-$B$3)/365)</f>
        <v>1.0740500375671378</v>
      </c>
      <c r="N14">
        <f>IF(A14&lt;=$B$4,L14/M14,0)</f>
        <v>1812.0434623843646</v>
      </c>
      <c r="O14">
        <f>IF(A14&lt;=$B$5,L14/M14,0)</f>
        <v>1812.0434623843646</v>
      </c>
      <c r="P14">
        <f>IF(A14&lt;=$B$6,L14/M14,0)</f>
        <v>1812.0434623843646</v>
      </c>
    </row>
    <row r="15" spans="1:16">
      <c r="A15" s="1">
        <v>48579</v>
      </c>
      <c r="B15" s="1">
        <v>48395</v>
      </c>
      <c r="C15">
        <v>6</v>
      </c>
      <c r="D15">
        <v>2067.315020857119</v>
      </c>
      <c r="E15">
        <v>1957.93532533949</v>
      </c>
      <c r="F15">
        <v>2207.88704692459</v>
      </c>
      <c r="G15">
        <v>0</v>
      </c>
      <c r="H15">
        <v>140.5720260674709</v>
      </c>
      <c r="I15">
        <f>F15+G15-H15</f>
        <v>2067.3150208571187</v>
      </c>
      <c r="J15">
        <f>I15-D15</f>
        <v>0.0</v>
      </c>
      <c r="K15">
        <v>24558.20768291785</v>
      </c>
      <c r="L15">
        <f>E15</f>
        <v>1957.9353253394904</v>
      </c>
      <c r="M15">
        <f>(1+$B$2)^((A15-$B$3)/365)</f>
        <v>1.1034338496001956</v>
      </c>
      <c r="N15">
        <f>IF(A15&lt;=$B$4,L15/M15,0)</f>
        <v>1774.4020867666006</v>
      </c>
      <c r="O15">
        <f>IF(A15&lt;=$B$5,L15/M15,0)</f>
        <v>1774.4020867666006</v>
      </c>
      <c r="P15">
        <f>IF(A15&lt;=$B$6,L15/M15,0)</f>
        <v>1774.4020867666006</v>
      </c>
    </row>
    <row r="16" spans="1:16">
      <c r="A16" s="1">
        <v>48760</v>
      </c>
      <c r="B16" s="1">
        <v>48579</v>
      </c>
      <c r="C16">
        <v>7</v>
      </c>
      <c r="D16">
        <v>2211.726265167936</v>
      </c>
      <c r="E16">
        <v>1970.9485120758</v>
      </c>
      <c r="F16">
        <v>2211.726265167936</v>
      </c>
      <c r="G16">
        <v>0</v>
      </c>
      <c r="H16">
        <v>0</v>
      </c>
      <c r="I16">
        <f>F16+G16-H16</f>
        <v>2211.726265167936</v>
      </c>
      <c r="J16">
        <f>I16-D16</f>
        <v>0.0</v>
      </c>
      <c r="K16">
        <v>23616.95341666586</v>
      </c>
      <c r="L16">
        <f>E16</f>
        <v>1970.9485120758</v>
      </c>
      <c r="M16">
        <f>(1+$B$2)^((A16-$B$3)/365)</f>
        <v>1.1331227896333305</v>
      </c>
      <c r="N16">
        <f>IF(A16&lt;=$B$4,L16/M16,0)</f>
        <v>1739.395350713565</v>
      </c>
      <c r="O16">
        <f>IF(A16&lt;=$B$5,L16/M16,0)</f>
        <v>1739.395350713565</v>
      </c>
      <c r="P16">
        <f>IF(A16&lt;=$B$6,L16/M16,0)</f>
        <v>1739.395350713565</v>
      </c>
    </row>
    <row r="17" spans="1:16">
      <c r="A17" s="1">
        <v>48944</v>
      </c>
      <c r="B17" s="1">
        <v>48760</v>
      </c>
      <c r="C17">
        <v>8</v>
      </c>
      <c r="D17">
        <v>2063.363405566157</v>
      </c>
      <c r="E17">
        <v>1939.986729854343</v>
      </c>
      <c r="F17">
        <v>2248.384711551936</v>
      </c>
      <c r="G17">
        <v>0</v>
      </c>
      <c r="H17">
        <v>185.0213059857783</v>
      </c>
      <c r="I17">
        <f>F17+G17-H17</f>
        <v>2063.3634055661573</v>
      </c>
      <c r="J17">
        <f>I17-D17</f>
        <v>0.0</v>
      </c>
      <c r="K17">
        <v>22627.57068788855</v>
      </c>
      <c r="L17">
        <f>E17</f>
        <v>1939.9867298543434</v>
      </c>
      <c r="M17">
        <f>(1+$B$2)^((A17-$B$3)/365)</f>
        <v>1.1641227113282064</v>
      </c>
      <c r="N17">
        <f>IF(A17&lt;=$B$4,L17/M17,0)</f>
        <v>1666.4795824152545</v>
      </c>
      <c r="O17">
        <f>IF(A17&lt;=$B$5,L17/M17,0)</f>
        <v>1666.4795824152545</v>
      </c>
      <c r="P17">
        <f>IF(A17&lt;=$B$6,L17/M17,0)</f>
        <v>1666.4795824152545</v>
      </c>
    </row>
    <row r="18" spans="1:16">
      <c r="A18" s="1">
        <v>49125</v>
      </c>
      <c r="B18" s="1">
        <v>48944</v>
      </c>
      <c r="C18">
        <v>9</v>
      </c>
      <c r="D18">
        <v>2246.137058145137</v>
      </c>
      <c r="E18">
        <v>2001.526123223774</v>
      </c>
      <c r="F18">
        <v>2246.137058145137</v>
      </c>
      <c r="G18">
        <v>0</v>
      </c>
      <c r="H18">
        <v>0</v>
      </c>
      <c r="I18">
        <f>F18+G18-H18</f>
        <v>2246.1370581451365</v>
      </c>
      <c r="J18">
        <f>I18-D18</f>
        <v>0.0</v>
      </c>
      <c r="K18">
        <v>21647.00123345835</v>
      </c>
      <c r="L18">
        <f>E18</f>
        <v>2001.5261232237735</v>
      </c>
      <c r="M18">
        <f>(1+$B$2)^((A18-$B$3)/365)</f>
        <v>1.1954445430631635</v>
      </c>
      <c r="N18">
        <f>IF(A18&lt;=$B$4,L18/M18,0)</f>
        <v>1674.294416113303</v>
      </c>
      <c r="O18">
        <f>IF(A18&lt;=$B$5,L18/M18,0)</f>
        <v>1674.294416113303</v>
      </c>
      <c r="P18">
        <f>IF(A18&lt;=$B$6,L18/M18,0)</f>
        <v>1674.294416113303</v>
      </c>
    </row>
    <row r="19" spans="1:16">
      <c r="A19" s="1">
        <v>49309</v>
      </c>
      <c r="B19" s="1">
        <v>49125</v>
      </c>
      <c r="C19">
        <v>10</v>
      </c>
      <c r="D19">
        <v>2052.966002972444</v>
      </c>
      <c r="E19">
        <v>1927.625170583297</v>
      </c>
      <c r="F19">
        <v>2283.365849164117</v>
      </c>
      <c r="G19">
        <v>0</v>
      </c>
      <c r="H19">
        <v>230.3998461916737</v>
      </c>
      <c r="I19">
        <f>F19+G19-H19</f>
        <v>2052.9660029724437</v>
      </c>
      <c r="J19">
        <f>I19-D19</f>
        <v>0.0</v>
      </c>
      <c r="K19">
        <v>20577.66251210264</v>
      </c>
      <c r="L19">
        <f>E19</f>
        <v>1927.6251705832972</v>
      </c>
      <c r="M19">
        <f>(1+$B$2)^((A19-$B$3)/365)</f>
        <v>1.2281494604512577</v>
      </c>
      <c r="N19">
        <f>IF(A19&lt;=$B$4,L19/M19,0)</f>
        <v>1569.5363086142886</v>
      </c>
      <c r="O19">
        <f>IF(A19&lt;=$B$5,L19/M19,0)</f>
        <v>1569.5363086142886</v>
      </c>
      <c r="P19">
        <f>IF(A19&lt;=$B$6,L19/M19,0)</f>
        <v>1569.5363086142886</v>
      </c>
    </row>
    <row r="20" spans="1:16">
      <c r="A20" s="1">
        <v>49490</v>
      </c>
      <c r="B20" s="1">
        <v>49309</v>
      </c>
      <c r="C20">
        <v>11</v>
      </c>
      <c r="D20">
        <v>2281.079673163247</v>
      </c>
      <c r="E20">
        <v>2032.574532157936</v>
      </c>
      <c r="F20">
        <v>2281.079673163247</v>
      </c>
      <c r="G20">
        <v>0</v>
      </c>
      <c r="H20">
        <v>0</v>
      </c>
      <c r="I20">
        <f>F20+G20-H20</f>
        <v>2281.079673163247</v>
      </c>
      <c r="J20">
        <f>I20-D20</f>
        <v>0.0</v>
      </c>
      <c r="K20">
        <v>19549.76916056789</v>
      </c>
      <c r="L20">
        <f>E20</f>
        <v>2032.574532157936</v>
      </c>
      <c r="M20">
        <f>(1+$B$2)^((A20-$B$3)/365)</f>
        <v>1.2611939929316374</v>
      </c>
      <c r="N20">
        <f>IF(A20&lt;=$B$4,L20/M20,0)</f>
        <v>1611.6271910185912</v>
      </c>
      <c r="O20">
        <f>IF(A20&lt;=$B$5,L20/M20,0)</f>
        <v>1611.6271910185912</v>
      </c>
      <c r="P20">
        <f>IF(A20&lt;=$B$6,L20/M20,0)</f>
        <v>1611.6271910185912</v>
      </c>
    </row>
    <row r="21" spans="1:16">
      <c r="A21" s="1">
        <v>49674</v>
      </c>
      <c r="B21" s="1">
        <v>49490</v>
      </c>
      <c r="C21">
        <v>12</v>
      </c>
      <c r="D21">
        <v>2040.633341823833</v>
      </c>
      <c r="E21">
        <v>1913.296130641215</v>
      </c>
      <c r="F21">
        <v>2318.887623547169</v>
      </c>
      <c r="G21">
        <v>0</v>
      </c>
      <c r="H21">
        <v>278.2542817233363</v>
      </c>
      <c r="I21">
        <f>F21+G21-H21</f>
        <v>2040.6333418238326</v>
      </c>
      <c r="J21">
        <f>I21-D21</f>
        <v>0.0</v>
      </c>
      <c r="K21">
        <v>18396.56247264031</v>
      </c>
      <c r="L21">
        <f>E21</f>
        <v>1913.2961306412149</v>
      </c>
      <c r="M21">
        <f>(1+$B$2)^((A21-$B$3)/365)</f>
        <v>1.2956976807760767</v>
      </c>
      <c r="N21">
        <f>IF(A21&lt;=$B$4,L21/M21,0)</f>
        <v>1476.6532031570966</v>
      </c>
      <c r="O21">
        <f>IF(A21&lt;=$B$5,L21/M21,0)</f>
        <v>1476.6532031570966</v>
      </c>
      <c r="P21">
        <f>IF(A21&lt;=$B$6,L21/M21,0)</f>
        <v>1476.6532031570966</v>
      </c>
    </row>
    <row r="22" spans="1:16">
      <c r="A22" s="1">
        <v>49856</v>
      </c>
      <c r="B22" s="1">
        <v>49674</v>
      </c>
      <c r="C22">
        <v>13</v>
      </c>
      <c r="D22">
        <v>2322.996569213331</v>
      </c>
      <c r="E22">
        <v>2069.83400837142</v>
      </c>
      <c r="F22">
        <v>2322.996569213331</v>
      </c>
      <c r="G22">
        <v>0</v>
      </c>
      <c r="H22">
        <v>0</v>
      </c>
      <c r="I22">
        <f>F22+G22-H22</f>
        <v>2322.9965692133305</v>
      </c>
      <c r="J22">
        <f>I22-D22</f>
        <v>0.0</v>
      </c>
      <c r="K22">
        <v>17319.29684217019</v>
      </c>
      <c r="L22">
        <f>E22</f>
        <v>2069.83400837142</v>
      </c>
      <c r="M22">
        <f>(1+$B$2)^((A22-$B$3)/365)</f>
        <v>1.330754852707162</v>
      </c>
      <c r="N22">
        <f>IF(A22&lt;=$B$4,L22/M22,0)</f>
        <v>1555.3834007523965</v>
      </c>
      <c r="O22">
        <f>IF(A22&lt;=$B$5,L22/M22,0)</f>
        <v>1555.3834007523965</v>
      </c>
      <c r="P22">
        <f>IF(A22&lt;=$B$6,L22/M22,0)</f>
        <v>1555.3834007523965</v>
      </c>
    </row>
    <row r="23" spans="1:16">
      <c r="A23" s="1">
        <v>50040</v>
      </c>
      <c r="B23" s="1">
        <v>49856</v>
      </c>
      <c r="C23">
        <v>14</v>
      </c>
      <c r="D23">
        <v>1871.713930924337</v>
      </c>
      <c r="E23">
        <v>1743.052649982809</v>
      </c>
      <c r="F23">
        <v>2348.524004039851</v>
      </c>
      <c r="G23">
        <v>0</v>
      </c>
      <c r="H23">
        <v>476.8100731155137</v>
      </c>
      <c r="I23">
        <f>F23+G23-H23</f>
        <v>1871.713930924337</v>
      </c>
      <c r="J23">
        <f>I23-D23</f>
        <v>0.0</v>
      </c>
      <c r="K23">
        <v>16076.00783905546</v>
      </c>
      <c r="L23">
        <f>E23</f>
        <v>1743.0526499828095</v>
      </c>
      <c r="M23">
        <f>(1+$B$2)^((A23-$B$3)/365)</f>
        <v>1.3671615833866742</v>
      </c>
      <c r="N23">
        <f>IF(A23&lt;=$B$4,L23/M23,0)</f>
        <v>1274.9426777082151</v>
      </c>
      <c r="O23">
        <f>IF(A23&lt;=$B$5,L23/M23,0)</f>
        <v>1274.9426777082151</v>
      </c>
      <c r="P23">
        <f>IF(A23&lt;=$B$6,L23/M23,0)</f>
        <v>1274.9426777082151</v>
      </c>
    </row>
    <row r="24" spans="1:16">
      <c r="A24" s="1">
        <v>50221</v>
      </c>
      <c r="B24" s="1">
        <v>50040</v>
      </c>
      <c r="C24">
        <v>15</v>
      </c>
      <c r="D24">
        <v>2352.593079222681</v>
      </c>
      <c r="E24">
        <v>2096.112551794391</v>
      </c>
      <c r="F24">
        <v>2352.593079222681</v>
      </c>
      <c r="G24">
        <v>0</v>
      </c>
      <c r="H24">
        <v>0</v>
      </c>
      <c r="I24">
        <f>F24+G24-H24</f>
        <v>2352.593079222681</v>
      </c>
      <c r="J24">
        <f>I24-D24</f>
        <v>0.0</v>
      </c>
      <c r="K24">
        <v>15075.37840665659</v>
      </c>
      <c r="L24">
        <f>E24</f>
        <v>2096.112551794391</v>
      </c>
      <c r="M24">
        <f>(1+$B$2)^((A24-$B$3)/365)</f>
        <v>1.4039463696060557</v>
      </c>
      <c r="N24">
        <f>IF(A24&lt;=$B$4,L24/M24,0)</f>
        <v>1493.0146885757151</v>
      </c>
      <c r="O24">
        <f>IF(A24&lt;=$B$5,L24/M24,0)</f>
        <v>1493.0146885757151</v>
      </c>
      <c r="P24">
        <f>IF(A24&lt;=$B$6,L24/M24,0)</f>
        <v>1493.0146885757151</v>
      </c>
    </row>
    <row r="25" spans="1:16">
      <c r="A25" s="1">
        <v>50405</v>
      </c>
      <c r="B25" s="1">
        <v>50221</v>
      </c>
      <c r="C25">
        <v>16</v>
      </c>
      <c r="D25">
        <v>1864.058141012531</v>
      </c>
      <c r="E25">
        <v>1732.635223186704</v>
      </c>
      <c r="F25">
        <v>2391.586334679411</v>
      </c>
      <c r="G25">
        <v>0</v>
      </c>
      <c r="H25">
        <v>527.52819366688</v>
      </c>
      <c r="I25">
        <f>F25+G25-H25</f>
        <v>1864.0581410125308</v>
      </c>
      <c r="J25">
        <f>I25-D25</f>
        <v>0.0</v>
      </c>
      <c r="K25">
        <v>13745.49403582312</v>
      </c>
      <c r="L25">
        <f>E25</f>
        <v>1732.6352231867043</v>
      </c>
      <c r="M25">
        <f>(1+$B$2)^((A25-$B$3)/365)</f>
        <v>1.442355470472941</v>
      </c>
      <c r="N25">
        <f>IF(A25&lt;=$B$4,L25/M25,0)</f>
        <v>1201.253961770313</v>
      </c>
      <c r="O25">
        <f>IF(A25&lt;=$B$5,L25/M25,0)</f>
        <v>1201.253961770313</v>
      </c>
      <c r="P25">
        <f>IF(A25&lt;=$B$6,L25/M25,0)</f>
        <v>1201.253961770313</v>
      </c>
    </row>
    <row r="26" spans="1:16">
      <c r="A26" s="1">
        <v>50586</v>
      </c>
      <c r="B26" s="1">
        <v>50405</v>
      </c>
      <c r="C26">
        <v>17</v>
      </c>
      <c r="D26">
        <v>2389.18053528806</v>
      </c>
      <c r="E26">
        <v>2128.616837863112</v>
      </c>
      <c r="F26">
        <v>2389.18053528806</v>
      </c>
      <c r="G26">
        <v>0</v>
      </c>
      <c r="H26">
        <v>0</v>
      </c>
      <c r="I26">
        <f>F26+G26-H26</f>
        <v>2389.18053528806</v>
      </c>
      <c r="J26">
        <f>I26-D26</f>
        <v>0.0</v>
      </c>
      <c r="K26">
        <v>12688.03245995444</v>
      </c>
      <c r="L26">
        <f>E26</f>
        <v>2128.6168378631123</v>
      </c>
      <c r="M26">
        <f>(1+$B$2)^((A26-$B$3)/365)</f>
        <v>1.4811634199343888</v>
      </c>
      <c r="N26">
        <f>IF(A26&lt;=$B$4,L26/M26,0)</f>
        <v>1437.124904122601</v>
      </c>
      <c r="O26">
        <f>IF(A26&lt;=$B$5,L26/M26,0)</f>
        <v>1437.124904122601</v>
      </c>
      <c r="P26">
        <f>IF(A26&lt;=$B$6,L26/M26,0)</f>
        <v>1437.124904122601</v>
      </c>
    </row>
    <row r="27" spans="1:16">
      <c r="A27" s="1">
        <v>50770</v>
      </c>
      <c r="B27" s="1">
        <v>50586</v>
      </c>
      <c r="C27">
        <v>18</v>
      </c>
      <c r="D27">
        <v>1848.864000513329</v>
      </c>
      <c r="E27">
        <v>1715.348829835715</v>
      </c>
      <c r="F27">
        <v>2428.780212668526</v>
      </c>
      <c r="G27">
        <v>0</v>
      </c>
      <c r="H27">
        <v>579.9162121551963</v>
      </c>
      <c r="I27">
        <f>F27+G27-H27</f>
        <v>1848.8640005133293</v>
      </c>
      <c r="J27">
        <f>I27-D27</f>
        <v>0.0</v>
      </c>
      <c r="K27">
        <v>11265.04443712087</v>
      </c>
      <c r="L27">
        <f>E27</f>
        <v>1715.3488298357154</v>
      </c>
      <c r="M27">
        <f>(1+$B$2)^((A27-$B$3)/365)</f>
        <v>1.5216850213489528</v>
      </c>
      <c r="N27">
        <f>IF(A27&lt;=$B$4,L27/M27,0)</f>
        <v>1127.2693137999624</v>
      </c>
      <c r="O27">
        <f>IF(A27&lt;=$B$5,L27/M27,0)</f>
        <v>1127.2693137999624</v>
      </c>
      <c r="P27">
        <f>IF(A27&lt;=$B$6,L27/M27,0)</f>
        <v>1127.2693137999624</v>
      </c>
    </row>
    <row r="28" spans="1:16">
      <c r="A28" s="1">
        <v>50951</v>
      </c>
      <c r="B28" s="1">
        <v>50770</v>
      </c>
      <c r="C28">
        <v>19</v>
      </c>
      <c r="D28">
        <v>2426.333147138884</v>
      </c>
      <c r="E28">
        <v>2161.62127565093</v>
      </c>
      <c r="F28">
        <v>2426.333147138884</v>
      </c>
      <c r="G28">
        <v>0</v>
      </c>
      <c r="H28">
        <v>0</v>
      </c>
      <c r="I28">
        <f>F28+G28-H28</f>
        <v>2426.3331471388838</v>
      </c>
      <c r="J28">
        <f>I28-D28</f>
        <v>0.0</v>
      </c>
      <c r="K28">
        <v>10152.25999479095</v>
      </c>
      <c r="L28">
        <f>E28</f>
        <v>2161.6212756509303</v>
      </c>
      <c r="M28">
        <f>(1+$B$2)^((A28-$B$3)/365)</f>
        <v>1.56262740803078</v>
      </c>
      <c r="N28">
        <f>IF(A28&lt;=$B$4,L28/M28,0)</f>
        <v>1383.324818534318</v>
      </c>
      <c r="O28">
        <f>IF(A28&lt;=$B$5,L28/M28,0)</f>
        <v>1383.324818534318</v>
      </c>
      <c r="P28">
        <f>IF(A28&lt;=$B$6,L28/M28,0)</f>
        <v>1383.324818534318</v>
      </c>
    </row>
    <row r="29" spans="1:16">
      <c r="A29" s="1">
        <v>51135</v>
      </c>
      <c r="B29" s="1">
        <v>50951</v>
      </c>
      <c r="C29">
        <v>20</v>
      </c>
      <c r="D29">
        <v>1831.864060794645</v>
      </c>
      <c r="E29">
        <v>1696.222313723155</v>
      </c>
      <c r="F29">
        <v>2466.548613666048</v>
      </c>
      <c r="G29">
        <v>0</v>
      </c>
      <c r="H29">
        <v>634.6845528714024</v>
      </c>
      <c r="I29">
        <f>F29+G29-H29</f>
        <v>1831.8640607946454</v>
      </c>
      <c r="J29">
        <f>I29-D29</f>
        <v>0.0</v>
      </c>
      <c r="K29">
        <v>8631.647121326681</v>
      </c>
      <c r="L29">
        <f>E29</f>
        <v>1696.2223137231554</v>
      </c>
      <c r="M29">
        <f>(1+$B$2)^((A29-$B$3)/365)</f>
        <v>1.605377697523145</v>
      </c>
      <c r="N29">
        <f>IF(A29&lt;=$B$4,L29/M29,0)</f>
        <v>1056.5876904482789</v>
      </c>
      <c r="O29">
        <f>IF(A29&lt;=$B$5,L29/M29,0)</f>
        <v>1056.5876904482789</v>
      </c>
      <c r="P29">
        <f>IF(A29&lt;=$B$6,L29/M29,0)</f>
        <v>1056.5876904482789</v>
      </c>
    </row>
    <row r="30" spans="1:16">
      <c r="A30" s="1">
        <v>51317</v>
      </c>
      <c r="B30" s="1">
        <v>51135</v>
      </c>
      <c r="C30">
        <v>21</v>
      </c>
      <c r="D30">
        <v>2470.903555703116</v>
      </c>
      <c r="E30">
        <v>2201.230521978182</v>
      </c>
      <c r="F30">
        <v>2470.903555703116</v>
      </c>
      <c r="G30">
        <v>0</v>
      </c>
      <c r="H30">
        <v>0</v>
      </c>
      <c r="I30">
        <f>F30+G30-H30</f>
        <v>2470.9035557031157</v>
      </c>
      <c r="J30">
        <f>I30-D30</f>
        <v>0.0</v>
      </c>
      <c r="K30">
        <v>7460.773717972776</v>
      </c>
      <c r="L30">
        <f>E30</f>
        <v>2201.2305219781815</v>
      </c>
      <c r="M30">
        <f>(1+$B$2)^((A30-$B$3)/365)</f>
        <v>1.648813757332011</v>
      </c>
      <c r="N30">
        <f>IF(A30&lt;=$B$4,L30/M30,0)</f>
        <v>1335.0389103618656</v>
      </c>
      <c r="O30">
        <f>IF(A30&lt;=$B$5,L30/M30,0)</f>
        <v>1335.0389103618656</v>
      </c>
      <c r="P30">
        <f>IF(A30&lt;=$B$6,L30/M30,0)</f>
        <v>1335.0389103618656</v>
      </c>
    </row>
    <row r="31" spans="1:16">
      <c r="A31" s="1">
        <v>51501</v>
      </c>
      <c r="B31" s="1">
        <v>51317</v>
      </c>
      <c r="C31">
        <v>22</v>
      </c>
      <c r="D31">
        <v>1806.349507496014</v>
      </c>
      <c r="E31">
        <v>1669.297338964253</v>
      </c>
      <c r="F31">
        <v>2498.056342029524</v>
      </c>
      <c r="G31">
        <v>0</v>
      </c>
      <c r="H31">
        <v>691.7068345335101</v>
      </c>
      <c r="I31">
        <f>F31+G31-H31</f>
        <v>1806.3495074960138</v>
      </c>
      <c r="J31">
        <f>I31-D31</f>
        <v>0.0</v>
      </c>
      <c r="K31">
        <v>5833.865907760146</v>
      </c>
      <c r="L31">
        <f>E31</f>
        <v>1669.2973389642525</v>
      </c>
      <c r="M31">
        <f>(1+$B$2)^((A31-$B$3)/365)</f>
        <v>1.69392192904504</v>
      </c>
      <c r="N31">
        <f>IF(A31&lt;=$B$4,L31/M31,0)</f>
        <v>985.4629722547663</v>
      </c>
      <c r="O31">
        <f>IF(A31&lt;=$B$5,L31/M31,0)</f>
        <v>985.4629722547663</v>
      </c>
      <c r="P31">
        <f>IF(A31&lt;=$B$6,L31/M31,0)</f>
        <v>985.4629722547663</v>
      </c>
    </row>
    <row r="32" spans="1:16">
      <c r="A32" s="1">
        <v>51682</v>
      </c>
      <c r="B32" s="1">
        <v>51501</v>
      </c>
      <c r="C32">
        <v>23</v>
      </c>
      <c r="D32">
        <v>2502.368572792584</v>
      </c>
      <c r="E32">
        <v>2229.161185045589</v>
      </c>
      <c r="F32">
        <v>2502.368572792584</v>
      </c>
      <c r="G32">
        <v>0</v>
      </c>
      <c r="H32">
        <v>0</v>
      </c>
      <c r="I32">
        <f>F32+G32-H32</f>
        <v>2502.3685727925845</v>
      </c>
      <c r="J32">
        <f>I32-D32</f>
        <v>0.0</v>
      </c>
      <c r="K32">
        <v>4606.781245099653</v>
      </c>
      <c r="L32">
        <f>E32</f>
        <v>2229.1611850455893</v>
      </c>
      <c r="M32">
        <f>(1+$B$2)^((A32-$B$3)/365)</f>
        <v>1.7394985139852714</v>
      </c>
      <c r="N32">
        <f>IF(A32&lt;=$B$4,L32/M32,0)</f>
        <v>1281.496458389308</v>
      </c>
      <c r="O32">
        <f>IF(A32&lt;=$B$5,L32/M32,0)</f>
        <v>1281.496458389308</v>
      </c>
      <c r="P32">
        <f>IF(A32&lt;=$B$6,L32/M32,0)</f>
        <v>1281.496458389308</v>
      </c>
    </row>
    <row r="33" spans="1:16">
      <c r="A33" s="1">
        <v>51866</v>
      </c>
      <c r="B33" s="1">
        <v>51682</v>
      </c>
      <c r="C33">
        <v>24</v>
      </c>
      <c r="D33">
        <v>2199.695544382573</v>
      </c>
      <c r="E33">
        <v>2018.933320005787</v>
      </c>
      <c r="F33">
        <v>3088.424073408117</v>
      </c>
      <c r="G33">
        <v>0</v>
      </c>
      <c r="H33">
        <v>888.7285290255442</v>
      </c>
      <c r="I33">
        <f>F33+G33-H33</f>
        <v>2199.695544382573</v>
      </c>
      <c r="J33">
        <f>I33-D33</f>
        <v>0.0</v>
      </c>
      <c r="K33">
        <v>2876.537222269904</v>
      </c>
      <c r="L33">
        <f>E33</f>
        <v>2018.9333200057868</v>
      </c>
      <c r="M33">
        <f>(1+$B$2)^((A33-$B$3)/365)</f>
        <v>1.7870876351425171</v>
      </c>
      <c r="N33">
        <f>IF(A33&lt;=$B$4,L33/M33,0)</f>
        <v>1129.7338084065364</v>
      </c>
      <c r="O33">
        <f>IF(A33&lt;=$B$5,L33/M33,0)</f>
        <v>1129.7338084065364</v>
      </c>
      <c r="P33">
        <f>IF(A33&lt;=$B$6,L33/M33,0)</f>
        <v>1129.7338084065364</v>
      </c>
    </row>
    <row r="34" spans="1:16">
      <c r="A34" s="1">
        <v>52047</v>
      </c>
      <c r="B34" s="1">
        <v>51866</v>
      </c>
      <c r="C34">
        <v>25</v>
      </c>
      <c r="D34">
        <v>3085.498199220374</v>
      </c>
      <c r="E34">
        <v>2753.518438221245</v>
      </c>
      <c r="F34">
        <v>3085.498199220374</v>
      </c>
      <c r="G34">
        <v>0</v>
      </c>
      <c r="H34">
        <v>0</v>
      </c>
      <c r="I34">
        <f>F34+G34-H34</f>
        <v>3085.498199220374</v>
      </c>
      <c r="J34">
        <f>I34-D34</f>
        <v>0.0</v>
      </c>
      <c r="K34">
        <v>1274.955447517944</v>
      </c>
      <c r="L34">
        <f>E34</f>
        <v>2753.5184382212447</v>
      </c>
      <c r="M34">
        <f>(1+$B$2)^((A34-$B$3)/365)</f>
        <v>1.8351709322544614</v>
      </c>
      <c r="N34">
        <f>IF(A34&lt;=$B$4,L34/M34,0)</f>
        <v>1500.4152418862784</v>
      </c>
      <c r="O34">
        <f>IF(A34&lt;=$B$5,L34/M34,0)</f>
        <v>1500.4152418862784</v>
      </c>
      <c r="P34">
        <f>IF(A34&lt;=$B$6,L34/M34,0)</f>
        <v>1500.4152418862784</v>
      </c>
    </row>
    <row r="35" spans="1:16">
      <c r="A35" s="1">
        <v>52231</v>
      </c>
      <c r="B35" s="1">
        <v>52047</v>
      </c>
      <c r="C35">
        <v>26</v>
      </c>
      <c r="D35">
        <v>2047.642610947511</v>
      </c>
      <c r="E35">
        <v>1877.533210100989</v>
      </c>
      <c r="F35">
        <v>3136.639053351098</v>
      </c>
      <c r="G35">
        <v>0</v>
      </c>
      <c r="H35">
        <v>1088.996442403587</v>
      </c>
      <c r="I35">
        <f>F35+G35-H35</f>
        <v>2047.6426109475105</v>
      </c>
      <c r="J35">
        <f>I35-D35</f>
        <v>0.0</v>
      </c>
      <c r="K35">
        <v>0</v>
      </c>
      <c r="L35">
        <f>E35</f>
        <v>1877.5332101009894</v>
      </c>
      <c r="M35">
        <f>(1+$B$2)^((A35-$B$3)/365)</f>
        <v>1.8853774550753555</v>
      </c>
      <c r="N35">
        <f>IF(A35&lt;=$B$4,L35/M35,0)</f>
        <v>995.8394299490271</v>
      </c>
      <c r="O35">
        <f>IF(A35&lt;=$B$5,L35/M35,0)</f>
        <v>0</v>
      </c>
      <c r="P35">
        <f>IF(A35&lt;=$B$6,L35/M35,0)</f>
        <v>995.8394299490271</v>
      </c>
    </row>
    <row r="36" spans="1:16">
      <c r="A36" s="1">
        <v>52412</v>
      </c>
      <c r="B36" s="1">
        <v>52231</v>
      </c>
      <c r="C36">
        <v>27</v>
      </c>
      <c r="D36">
        <v>3133.663388956016</v>
      </c>
      <c r="E36">
        <v>2796.398510161781</v>
      </c>
      <c r="F36">
        <v>3133.663388956016</v>
      </c>
      <c r="G36">
        <v>0</v>
      </c>
      <c r="H36">
        <v>0</v>
      </c>
      <c r="I36">
        <f>F36+G36-H36</f>
        <v>3133.663388956016</v>
      </c>
      <c r="J36">
        <f>I36-D36</f>
        <v>0.0</v>
      </c>
      <c r="K36">
        <v>0</v>
      </c>
      <c r="L36">
        <f>E36</f>
        <v>2796.398510161781</v>
      </c>
      <c r="M36">
        <f>(1+$B$2)^((A36-$B$3)/365)</f>
        <v>1.9361053335284566</v>
      </c>
      <c r="N36">
        <f>IF(A36&lt;=$B$4,L36/M36,0)</f>
        <v>1444.3421345601494</v>
      </c>
      <c r="O36">
        <f>IF(A36&lt;=$B$5,L36/M36,0)</f>
        <v>0</v>
      </c>
      <c r="P36">
        <f>IF(A36&lt;=$B$6,L36/M36,0)</f>
        <v>1444.3421345601494</v>
      </c>
    </row>
    <row r="37" spans="1:16">
      <c r="A37" s="1">
        <v>52596</v>
      </c>
      <c r="B37" s="1">
        <v>52412</v>
      </c>
      <c r="C37">
        <v>28</v>
      </c>
      <c r="D37">
        <v>2063.566176216467</v>
      </c>
      <c r="E37">
        <v>1890.747340671397</v>
      </c>
      <c r="F37">
        <v>3185.602561148658</v>
      </c>
      <c r="G37">
        <v>0</v>
      </c>
      <c r="H37">
        <v>1122.036384932191</v>
      </c>
      <c r="I37">
        <f>F37+G37-H37</f>
        <v>2063.5661762164673</v>
      </c>
      <c r="J37">
        <f>I37-D37</f>
        <v>0.0</v>
      </c>
      <c r="K37">
        <v>0</v>
      </c>
      <c r="L37">
        <f>E37</f>
        <v>1890.7473406713966</v>
      </c>
      <c r="M37">
        <f>(1+$B$2)^((A37-$B$3)/365)</f>
        <v>1.9890732151044999</v>
      </c>
      <c r="N37">
        <f>IF(A37&lt;=$B$4,L37/M37,0)</f>
        <v>950.5669908546139</v>
      </c>
      <c r="O37">
        <f>IF(A37&lt;=$B$5,L37/M37,0)</f>
        <v>0</v>
      </c>
      <c r="P37">
        <f>IF(A37&lt;=$B$6,L37/M37,0)</f>
        <v>950.5669908546139</v>
      </c>
    </row>
    <row r="38" spans="1:16">
      <c r="A38" s="1">
        <v>52778</v>
      </c>
      <c r="B38" s="1">
        <v>52596</v>
      </c>
      <c r="C38">
        <v>29</v>
      </c>
      <c r="D38">
        <v>3191.41593856632</v>
      </c>
      <c r="E38">
        <v>2847.830127616195</v>
      </c>
      <c r="F38">
        <v>3191.41593856632</v>
      </c>
      <c r="G38">
        <v>0</v>
      </c>
      <c r="H38">
        <v>0</v>
      </c>
      <c r="I38">
        <f>F38+G38-H38</f>
        <v>3191.41593856632</v>
      </c>
      <c r="J38">
        <f>I38-D38</f>
        <v>0.0</v>
      </c>
      <c r="K38">
        <v>0</v>
      </c>
      <c r="L38">
        <f>E38</f>
        <v>2847.830127616195</v>
      </c>
      <c r="M38">
        <f>(1+$B$2)^((A38-$B$3)/365)</f>
        <v>2.0428907704802786</v>
      </c>
      <c r="N38">
        <f>IF(A38&lt;=$B$4,L38/M38,0)</f>
        <v>1394.0197727491213</v>
      </c>
      <c r="O38">
        <f>IF(A38&lt;=$B$5,L38/M38,0)</f>
        <v>0</v>
      </c>
      <c r="P38">
        <f>IF(A38&lt;=$B$6,L38/M38,0)</f>
        <v>1394.0197727491213</v>
      </c>
    </row>
    <row r="39" spans="1:16">
      <c r="A39" s="1">
        <v>52962</v>
      </c>
      <c r="B39" s="1">
        <v>52778</v>
      </c>
      <c r="C39">
        <v>30</v>
      </c>
      <c r="D39">
        <v>2079.772735382367</v>
      </c>
      <c r="E39">
        <v>1905.156905920199</v>
      </c>
      <c r="F39">
        <v>3226.48644338573</v>
      </c>
      <c r="G39">
        <v>0</v>
      </c>
      <c r="H39">
        <v>1146.713708003364</v>
      </c>
      <c r="I39">
        <f>F39+G39-H39</f>
        <v>2079.7727353823666</v>
      </c>
      <c r="J39">
        <f>I39-D39</f>
        <v>0.0</v>
      </c>
      <c r="K39">
        <v>0</v>
      </c>
      <c r="L39">
        <f>E39</f>
        <v>1905.1569059201993</v>
      </c>
      <c r="M39">
        <f>(1+$B$2)^((A39-$B$3)/365)</f>
        <v>2.0987800831791845</v>
      </c>
      <c r="N39">
        <f>IF(A39&lt;=$B$4,L39/M39,0)</f>
        <v>907.7448948506843</v>
      </c>
      <c r="O39">
        <f>IF(A39&lt;=$B$5,L39/M39,0)</f>
        <v>0</v>
      </c>
      <c r="P39">
        <f>IF(A39&lt;=$B$6,L39/M39,0)</f>
        <v>907.7448948506843</v>
      </c>
    </row>
    <row r="40" spans="1:16">
      <c r="A40" s="1">
        <v>53143</v>
      </c>
      <c r="B40" s="1">
        <v>52962</v>
      </c>
      <c r="C40">
        <v>31</v>
      </c>
      <c r="D40">
        <v>3232.248301938821</v>
      </c>
      <c r="E40">
        <v>2884.159430834401</v>
      </c>
      <c r="F40">
        <v>3232.248301938821</v>
      </c>
      <c r="G40">
        <v>0</v>
      </c>
      <c r="H40">
        <v>0</v>
      </c>
      <c r="I40">
        <f>F40+G40-H40</f>
        <v>3232.2483019388214</v>
      </c>
      <c r="J40">
        <f>I40-D40</f>
        <v>0.0</v>
      </c>
      <c r="K40">
        <v>0</v>
      </c>
      <c r="L40">
        <f>E40</f>
        <v>2884.159430834401</v>
      </c>
      <c r="M40">
        <f>(1+$B$2)^((A40-$B$3)/365)</f>
        <v>2.155249762856694</v>
      </c>
      <c r="N40">
        <f>IF(A40&lt;=$B$4,L40/M40,0)</f>
        <v>1338.2019478854124</v>
      </c>
      <c r="O40">
        <f>IF(A40&lt;=$B$5,L40/M40,0)</f>
        <v>0</v>
      </c>
      <c r="P40">
        <f>IF(A40&lt;=$B$6,L40/M40,0)</f>
        <v>1338.2019478854124</v>
      </c>
    </row>
    <row r="41" spans="1:16">
      <c r="A41" s="1">
        <v>53327</v>
      </c>
      <c r="B41" s="1">
        <v>53143</v>
      </c>
      <c r="C41">
        <v>32</v>
      </c>
      <c r="D41">
        <v>2114.073439149392</v>
      </c>
      <c r="E41">
        <v>1935.709586103933</v>
      </c>
      <c r="F41">
        <v>3285.821478214051</v>
      </c>
      <c r="G41">
        <v>0</v>
      </c>
      <c r="H41">
        <v>1171.74803906466</v>
      </c>
      <c r="I41">
        <f>F41+G41-H41</f>
        <v>2114.0734391493916</v>
      </c>
      <c r="J41">
        <f>I41-D41</f>
        <v>0.0</v>
      </c>
      <c r="K41">
        <v>0</v>
      </c>
      <c r="L41">
        <f>E41</f>
        <v>1935.7095861039334</v>
      </c>
      <c r="M41">
        <f>(1+$B$2)^((A41-$B$3)/365)</f>
        <v>2.2142129877540393</v>
      </c>
      <c r="N41">
        <f>IF(A41&lt;=$B$4,L41/M41,0)</f>
        <v>874.2201390785796</v>
      </c>
      <c r="O41">
        <f>IF(A41&lt;=$B$5,L41/M41,0)</f>
        <v>0</v>
      </c>
      <c r="P41">
        <f>IF(A41&lt;=$B$6,L41/M41,0)</f>
        <v>874.2201390785796</v>
      </c>
    </row>
    <row r="42" spans="1:16">
      <c r="A42" s="1">
        <v>53508</v>
      </c>
      <c r="B42" s="1">
        <v>53327</v>
      </c>
      <c r="C42">
        <v>33</v>
      </c>
      <c r="D42">
        <v>3282.691242036537</v>
      </c>
      <c r="E42">
        <v>2929.060796104135</v>
      </c>
      <c r="F42">
        <v>3282.691242036537</v>
      </c>
      <c r="G42">
        <v>0</v>
      </c>
      <c r="H42">
        <v>0</v>
      </c>
      <c r="I42">
        <f>F42+G42-H42</f>
        <v>3282.6912420365375</v>
      </c>
      <c r="J42">
        <f>I42-D42</f>
        <v>0.0</v>
      </c>
      <c r="L42">
        <f>E42</f>
        <v>2929.060796104135</v>
      </c>
      <c r="M42">
        <f>(1+$B$2)^((A42-$B$3)/365)</f>
        <v>2.273788499813812</v>
      </c>
      <c r="N42">
        <f>IF(A42&lt;=$B$4,L42/M42,0)</f>
        <v>0</v>
      </c>
      <c r="O42">
        <f>IF(A42&lt;=$B$5,L42/M42,0)</f>
        <v>0</v>
      </c>
      <c r="P42">
        <f>IF(A42&lt;=$B$6,L42/M42,0)</f>
        <v>1288.18524517297</v>
      </c>
    </row>
    <row r="43" spans="1:16">
      <c r="A43" s="1">
        <v>53692</v>
      </c>
      <c r="B43" s="1">
        <v>53508</v>
      </c>
      <c r="C43">
        <v>34</v>
      </c>
      <c r="D43">
        <v>2109.949198092427</v>
      </c>
      <c r="E43">
        <v>1928.745792506484</v>
      </c>
      <c r="F43">
        <v>3337.100489142116</v>
      </c>
      <c r="G43">
        <v>0</v>
      </c>
      <c r="H43">
        <v>1227.15129104969</v>
      </c>
      <c r="I43">
        <f>F43+G43-H43</f>
        <v>2109.9491980924267</v>
      </c>
      <c r="J43">
        <f>I43-D43</f>
        <v>0.0</v>
      </c>
      <c r="L43">
        <f>E43</f>
        <v>1928.7457925064843</v>
      </c>
      <c r="M43">
        <f>(1+$B$2)^((A43-$B$3)/365)</f>
        <v>2.3359947020805114</v>
      </c>
      <c r="N43">
        <f>IF(A43&lt;=$B$4,L43/M43,0)</f>
        <v>0</v>
      </c>
      <c r="O43">
        <f>IF(A43&lt;=$B$5,L43/M43,0)</f>
        <v>0</v>
      </c>
      <c r="P43">
        <f>IF(A43&lt;=$B$6,L43/M43,0)</f>
        <v>825.6635988038337</v>
      </c>
    </row>
    <row r="44" spans="1:16">
      <c r="A44" s="1">
        <v>53873</v>
      </c>
      <c r="B44" s="1">
        <v>53692</v>
      </c>
      <c r="C44">
        <v>35</v>
      </c>
      <c r="D44">
        <v>3333.916944683227</v>
      </c>
      <c r="E44">
        <v>2974.65670205158</v>
      </c>
      <c r="F44">
        <v>3333.916944683227</v>
      </c>
      <c r="G44">
        <v>0</v>
      </c>
      <c r="H44">
        <v>0</v>
      </c>
      <c r="I44">
        <f>F44+G44-H44</f>
        <v>3333.916944683227</v>
      </c>
      <c r="J44">
        <f>I44-D44</f>
        <v>0.0</v>
      </c>
      <c r="L44">
        <f>E44</f>
        <v>2974.65670205158</v>
      </c>
      <c r="M44">
        <f>(1+$B$2)^((A44-$B$3)/365)</f>
        <v>2.3988468673035714</v>
      </c>
      <c r="N44">
        <f>IF(A44&lt;=$B$4,L44/M44,0)</f>
        <v>0</v>
      </c>
      <c r="O44">
        <f>IF(A44&lt;=$B$5,L44/M44,0)</f>
        <v>0</v>
      </c>
      <c r="P44">
        <f>IF(A44&lt;=$B$6,L44/M44,0)</f>
        <v>1240.0360950906586</v>
      </c>
    </row>
    <row r="45" spans="1:16">
      <c r="A45" s="1">
        <v>54057</v>
      </c>
      <c r="B45" s="1">
        <v>53873</v>
      </c>
      <c r="C45">
        <v>36</v>
      </c>
      <c r="D45">
        <v>2037.155037225842</v>
      </c>
      <c r="E45">
        <v>1853.065496058052</v>
      </c>
      <c r="F45">
        <v>3389.175236584054</v>
      </c>
      <c r="G45">
        <v>0</v>
      </c>
      <c r="H45">
        <v>1352.020199358213</v>
      </c>
      <c r="I45">
        <f>F45+G45-H45</f>
        <v>2037.1550372258416</v>
      </c>
      <c r="J45">
        <f>I45-D45</f>
        <v>0.0</v>
      </c>
      <c r="L45">
        <f>E45</f>
        <v>1853.065496058052</v>
      </c>
      <c r="M45">
        <f>(1+$B$2)^((A45-$B$3)/365)</f>
        <v>2.4644744106949394</v>
      </c>
      <c r="N45">
        <f>IF(A45&lt;=$B$4,L45/M45,0)</f>
        <v>0</v>
      </c>
      <c r="O45">
        <f>IF(A45&lt;=$B$5,L45/M45,0)</f>
        <v>0</v>
      </c>
      <c r="P45">
        <f>IF(A45&lt;=$B$6,L45/M45,0)</f>
        <v>751.9110314217138</v>
      </c>
    </row>
    <row r="46" spans="1:16">
      <c r="A46" s="1">
        <v>54239</v>
      </c>
      <c r="B46" s="1">
        <v>54057</v>
      </c>
      <c r="C46">
        <v>37</v>
      </c>
      <c r="D46">
        <v>3395.341995667023</v>
      </c>
      <c r="E46">
        <v>3029.348589392302</v>
      </c>
      <c r="F46">
        <v>3395.341995667023</v>
      </c>
      <c r="G46">
        <v>0</v>
      </c>
      <c r="H46">
        <v>0</v>
      </c>
      <c r="I46">
        <f>F46+G46-H46</f>
        <v>3395.341995667023</v>
      </c>
      <c r="J46">
        <f>I46-D46</f>
        <v>0.0</v>
      </c>
      <c r="L46">
        <f>E46</f>
        <v>3029.348589392302</v>
      </c>
      <c r="M46">
        <f>(1+$B$2)^((A46-$B$3)/365)</f>
        <v>2.5311547053480434</v>
      </c>
      <c r="N46">
        <f>IF(A46&lt;=$B$4,L46/M46,0)</f>
        <v>0</v>
      </c>
      <c r="O46">
        <f>IF(A46&lt;=$B$5,L46/M46,0)</f>
        <v>0</v>
      </c>
      <c r="P46">
        <f>IF(A46&lt;=$B$6,L46/M46,0)</f>
        <v>1196.8247468207421</v>
      </c>
    </row>
    <row r="47" spans="1:16">
      <c r="A47" s="1">
        <v>54423</v>
      </c>
      <c r="B47" s="1">
        <v>54239</v>
      </c>
      <c r="C47">
        <v>38</v>
      </c>
      <c r="D47">
        <v>2013.904333225128</v>
      </c>
      <c r="E47">
        <v>1827.900603799813</v>
      </c>
      <c r="F47">
        <v>3432.653446168859</v>
      </c>
      <c r="G47">
        <v>0</v>
      </c>
      <c r="H47">
        <v>1418.749112943731</v>
      </c>
      <c r="I47">
        <f>F47+G47-H47</f>
        <v>2013.9043332251276</v>
      </c>
      <c r="J47">
        <f>I47-D47</f>
        <v>0.0</v>
      </c>
      <c r="L47">
        <f>E47</f>
        <v>1827.9006037998133</v>
      </c>
      <c r="M47">
        <f>(1+$B$2)^((A47-$B$3)/365)</f>
        <v>2.6004019205494933</v>
      </c>
      <c r="N47">
        <f>IF(A47&lt;=$B$4,L47/M47,0)</f>
        <v>0</v>
      </c>
      <c r="O47">
        <f>IF(A47&lt;=$B$5,L47/M47,0)</f>
        <v>0</v>
      </c>
      <c r="P47">
        <f>IF(A47&lt;=$B$6,L47/M47,0)</f>
        <v>702.9300314520449</v>
      </c>
    </row>
    <row r="48" spans="1:16">
      <c r="A48" s="1">
        <v>54604</v>
      </c>
      <c r="B48" s="1">
        <v>54423</v>
      </c>
      <c r="C48">
        <v>39</v>
      </c>
      <c r="D48">
        <v>3438.765044630741</v>
      </c>
      <c r="E48">
        <v>3067.974902658544</v>
      </c>
      <c r="F48">
        <v>3438.765044630741</v>
      </c>
      <c r="G48">
        <v>0</v>
      </c>
      <c r="H48">
        <v>0</v>
      </c>
      <c r="I48">
        <f>F48+G48-H48</f>
        <v>3438.765044630741</v>
      </c>
      <c r="J48">
        <f>I48-D48</f>
        <v>0.0</v>
      </c>
      <c r="L48">
        <f>E48</f>
        <v>3067.974902658544</v>
      </c>
      <c r="M48">
        <f>(1+$B$2)^((A48-$B$3)/365)</f>
        <v>2.6703682141421856</v>
      </c>
      <c r="N48">
        <f>IF(A48&lt;=$B$4,L48/M48,0)</f>
        <v>0</v>
      </c>
      <c r="O48">
        <f>IF(A48&lt;=$B$5,L48/M48,0)</f>
        <v>0</v>
      </c>
      <c r="P48">
        <f>IF(A48&lt;=$B$6,L48/M48,0)</f>
        <v>1148.895828826394</v>
      </c>
    </row>
    <row r="49" spans="1:16">
      <c r="A49" s="1">
        <v>54788</v>
      </c>
      <c r="B49" s="1">
        <v>54604</v>
      </c>
      <c r="C49">
        <v>40</v>
      </c>
      <c r="D49">
        <v>2050.388836779335</v>
      </c>
      <c r="E49">
        <v>1860.392649358583</v>
      </c>
      <c r="F49">
        <v>3495.761150342853</v>
      </c>
      <c r="G49">
        <v>0</v>
      </c>
      <c r="H49">
        <v>1445.372313563518</v>
      </c>
      <c r="I49">
        <f>F49+G49-H49</f>
        <v>2050.3888367793347</v>
      </c>
      <c r="J49">
        <f>I49-D49</f>
        <v>0.0</v>
      </c>
      <c r="L49">
        <f>E49</f>
        <v>1860.3926493585832</v>
      </c>
      <c r="M49">
        <f>(1+$B$2)^((A49-$B$3)/365)</f>
        <v>2.743424026179715</v>
      </c>
      <c r="N49">
        <f>IF(A49&lt;=$B$4,L49/M49,0)</f>
        <v>0</v>
      </c>
      <c r="O49">
        <f>IF(A49&lt;=$B$5,L49/M49,0)</f>
        <v>0</v>
      </c>
      <c r="P49">
        <f>IF(A49&lt;=$B$6,L49/M49,0)</f>
        <v>678.1280004860297</v>
      </c>
    </row>
    <row r="50" spans="1:16">
      <c r="A50" s="1">
        <v>54969</v>
      </c>
      <c r="B50" s="1">
        <v>54788</v>
      </c>
      <c r="C50">
        <v>41</v>
      </c>
      <c r="D50">
        <v>3492.412107730891</v>
      </c>
      <c r="E50">
        <v>3115.718986698497</v>
      </c>
      <c r="F50">
        <v>3492.412107730891</v>
      </c>
      <c r="G50">
        <v>0</v>
      </c>
      <c r="H50">
        <v>0</v>
      </c>
      <c r="I50">
        <f>F50+G50-H50</f>
        <v>3492.4121077308905</v>
      </c>
      <c r="J50">
        <f>I50-D50</f>
        <v>0.0</v>
      </c>
      <c r="L50">
        <f>E50</f>
        <v>3115.718986698497</v>
      </c>
      <c r="M50">
        <f>(1+$B$2)^((A50-$B$3)/365)</f>
        <v>2.8172384659200054</v>
      </c>
      <c r="N50">
        <f>IF(A50&lt;=$B$4,L50/M50,0)</f>
        <v>0</v>
      </c>
      <c r="O50">
        <f>IF(A50&lt;=$B$5,L50/M50,0)</f>
        <v>0</v>
      </c>
      <c r="P50">
        <f>IF(A50&lt;=$B$6,L50/M50,0)</f>
        <v>1105.9479076369273</v>
      </c>
    </row>
    <row r="51" spans="1:16">
      <c r="A51" s="1">
        <v>55153</v>
      </c>
      <c r="B51" s="1">
        <v>54969</v>
      </c>
      <c r="C51">
        <v>42</v>
      </c>
      <c r="D51">
        <v>2077.878102401488</v>
      </c>
      <c r="E51">
        <v>1884.857175676998</v>
      </c>
      <c r="F51">
        <v>3550.297391284441</v>
      </c>
      <c r="G51">
        <v>0</v>
      </c>
      <c r="H51">
        <v>1472.419288882953</v>
      </c>
      <c r="I51">
        <f>F51+G51-H51</f>
        <v>2077.878102401488</v>
      </c>
      <c r="J51">
        <f>I51-D51</f>
        <v>0.0</v>
      </c>
      <c r="L51">
        <f>E51</f>
        <v>1884.857175676998</v>
      </c>
      <c r="M51">
        <f>(1+$B$2)^((A51-$B$3)/365)</f>
        <v>2.894312347619599</v>
      </c>
      <c r="N51">
        <f>IF(A51&lt;=$B$4,L51/M51,0)</f>
        <v>0</v>
      </c>
      <c r="O51">
        <f>IF(A51&lt;=$B$5,L51/M51,0)</f>
        <v>0</v>
      </c>
      <c r="P51">
        <f>IF(A51&lt;=$B$6,L51/M51,0)</f>
        <v>651.2279772524142</v>
      </c>
    </row>
    <row r="52" spans="1:16">
      <c r="A52" s="1">
        <v>55334</v>
      </c>
      <c r="B52" s="1">
        <v>55153</v>
      </c>
      <c r="C52">
        <v>43</v>
      </c>
      <c r="D52">
        <v>3546.891270547386</v>
      </c>
      <c r="E52">
        <v>3164.201195028158</v>
      </c>
      <c r="F52">
        <v>3546.891270547386</v>
      </c>
      <c r="G52">
        <v>0</v>
      </c>
      <c r="H52">
        <v>0</v>
      </c>
      <c r="I52">
        <f>F52+G52-H52</f>
        <v>3546.8912705473863</v>
      </c>
      <c r="J52">
        <f>I52-D52</f>
        <v>0.0</v>
      </c>
      <c r="L52">
        <f>E52</f>
        <v>3164.2011950281576</v>
      </c>
      <c r="M52">
        <f>(1+$B$2)^((A52-$B$3)/365)</f>
        <v>2.9721865815456057</v>
      </c>
      <c r="N52">
        <f>IF(A52&lt;=$B$4,L52/M52,0)</f>
        <v>0</v>
      </c>
      <c r="O52">
        <f>IF(A52&lt;=$B$5,L52/M52,0)</f>
        <v>0</v>
      </c>
      <c r="P52">
        <f>IF(A52&lt;=$B$6,L52/M52,0)</f>
        <v>1064.6038222077902</v>
      </c>
    </row>
    <row r="53" spans="1:16">
      <c r="A53" s="1">
        <v>55518</v>
      </c>
      <c r="B53" s="1">
        <v>55334</v>
      </c>
      <c r="C53">
        <v>44</v>
      </c>
      <c r="D53">
        <v>2105.805179713519</v>
      </c>
      <c r="E53">
        <v>1909.70989264321</v>
      </c>
      <c r="F53">
        <v>3605.679523650382</v>
      </c>
      <c r="G53">
        <v>0</v>
      </c>
      <c r="H53">
        <v>1499.874343936863</v>
      </c>
      <c r="I53">
        <f>F53+G53-H53</f>
        <v>2105.805179713519</v>
      </c>
      <c r="J53">
        <f>I53-D53</f>
        <v>0.0</v>
      </c>
      <c r="L53">
        <f>E53</f>
        <v>1909.7098926432102</v>
      </c>
      <c r="M53">
        <f>(1+$B$2)^((A53-$B$3)/365)</f>
        <v>3.053499526738677</v>
      </c>
      <c r="N53">
        <f>IF(A53&lt;=$B$4,L53/M53,0)</f>
        <v>0</v>
      </c>
      <c r="O53">
        <f>IF(A53&lt;=$B$5,L53/M53,0)</f>
        <v>0</v>
      </c>
      <c r="P53">
        <f>IF(A53&lt;=$B$6,L53/M53,0)</f>
        <v>625.4167966689997</v>
      </c>
    </row>
    <row r="54" spans="1:16">
      <c r="A54" s="1">
        <v>55700</v>
      </c>
      <c r="B54" s="1">
        <v>55518</v>
      </c>
      <c r="C54">
        <v>45</v>
      </c>
      <c r="D54">
        <v>3612.220588329394</v>
      </c>
      <c r="E54">
        <v>3222.358233227608</v>
      </c>
      <c r="F54">
        <v>3612.220588329394</v>
      </c>
      <c r="G54">
        <v>0</v>
      </c>
      <c r="H54">
        <v>0</v>
      </c>
      <c r="I54">
        <f>F54+G54-H54</f>
        <v>3612.220588329394</v>
      </c>
      <c r="J54">
        <f>I54-D54</f>
        <v>0.0</v>
      </c>
      <c r="L54">
        <f>E54</f>
        <v>3222.358233227608</v>
      </c>
      <c r="M54">
        <f>(1+$B$2)^((A54-$B$3)/365)</f>
        <v>3.13611683746524</v>
      </c>
      <c r="N54">
        <f>IF(A54&lt;=$B$4,L54/M54,0)</f>
        <v>0</v>
      </c>
      <c r="O54">
        <f>IF(A54&lt;=$B$5,L54/M54,0)</f>
        <v>0</v>
      </c>
      <c r="P54">
        <f>IF(A54&lt;=$B$6,L54/M54,0)</f>
        <v>1027.4994205356431</v>
      </c>
    </row>
    <row r="55" spans="1:16">
      <c r="A55" s="1">
        <v>55884</v>
      </c>
      <c r="B55" s="1">
        <v>55700</v>
      </c>
      <c r="C55">
        <v>46</v>
      </c>
      <c r="D55">
        <v>2124.125641140984</v>
      </c>
      <c r="E55">
        <v>1925.991328423238</v>
      </c>
      <c r="F55">
        <v>3651.915320069278</v>
      </c>
      <c r="G55">
        <v>0</v>
      </c>
      <c r="H55">
        <v>1527.789678928295</v>
      </c>
      <c r="I55">
        <f>F55+G55-H55</f>
        <v>2124.1256411409836</v>
      </c>
      <c r="J55">
        <f>I55-D55</f>
        <v>0.0</v>
      </c>
      <c r="L55">
        <f>E55</f>
        <v>1925.9913284232375</v>
      </c>
      <c r="M55">
        <f>(1+$B$2)^((A55-$B$3)/365)</f>
        <v>3.2219145791370534</v>
      </c>
      <c r="N55">
        <f>IF(A55&lt;=$B$4,L55/M55,0)</f>
        <v>0</v>
      </c>
      <c r="O55">
        <f>IF(A55&lt;=$B$5,L55/M55,0)</f>
        <v>0</v>
      </c>
      <c r="P55">
        <f>IF(A55&lt;=$B$6,L55/M55,0)</f>
        <v>597.7785199193854</v>
      </c>
    </row>
    <row r="56" spans="1:16">
      <c r="A56" s="1">
        <v>56065</v>
      </c>
      <c r="B56" s="1">
        <v>55884</v>
      </c>
      <c r="C56">
        <v>47</v>
      </c>
      <c r="D56">
        <v>3658.397321632615</v>
      </c>
      <c r="E56">
        <v>3263.425402686898</v>
      </c>
      <c r="F56">
        <v>3658.397321632615</v>
      </c>
      <c r="G56">
        <v>0</v>
      </c>
      <c r="H56">
        <v>0</v>
      </c>
      <c r="I56">
        <f>F56+G56-H56</f>
        <v>3658.397321632615</v>
      </c>
      <c r="J56">
        <f>I56-D56</f>
        <v>0.0</v>
      </c>
      <c r="L56">
        <f>E56</f>
        <v>3263.425402686898</v>
      </c>
      <c r="M56">
        <f>(1+$B$2)^((A56-$B$3)/365)</f>
        <v>3.3086032635258285</v>
      </c>
      <c r="N56">
        <f>IF(A56&lt;=$B$4,L56/M56,0)</f>
        <v>0</v>
      </c>
      <c r="O56">
        <f>IF(A56&lt;=$B$5,L56/M56,0)</f>
        <v>0</v>
      </c>
      <c r="P56">
        <f>IF(A56&lt;=$B$6,L56/M56,0)</f>
        <v>986.345337521433</v>
      </c>
    </row>
    <row r="57" spans="1:16">
      <c r="A57" s="1">
        <v>56249</v>
      </c>
      <c r="B57" s="1">
        <v>56065</v>
      </c>
      <c r="C57">
        <v>48</v>
      </c>
      <c r="D57">
        <v>2162.930506307865</v>
      </c>
      <c r="E57">
        <v>1960.543359932297</v>
      </c>
      <c r="F57">
        <v>3719.033741328184</v>
      </c>
      <c r="G57">
        <v>0</v>
      </c>
      <c r="H57">
        <v>1556.103235020319</v>
      </c>
      <c r="I57">
        <f>F57+G57-H57</f>
        <v>2162.930506307865</v>
      </c>
      <c r="J57">
        <f>I57-D57</f>
        <v>0.0</v>
      </c>
      <c r="L57">
        <f>E57</f>
        <v>1960.5433599322969</v>
      </c>
      <c r="M57">
        <f>(1+$B$2)^((A57-$B$3)/365)</f>
        <v>3.3991198809895913</v>
      </c>
      <c r="N57">
        <f>IF(A57&lt;=$B$4,L57/M57,0)</f>
        <v>0</v>
      </c>
      <c r="O57">
        <f>IF(A57&lt;=$B$5,L57/M57,0)</f>
        <v>0</v>
      </c>
      <c r="P57">
        <f>IF(A57&lt;=$B$6,L57/M57,0)</f>
        <v>576.7797043279099</v>
      </c>
    </row>
    <row r="58" spans="1:16">
      <c r="A58" s="1">
        <v>56430</v>
      </c>
      <c r="B58" s="1">
        <v>56249</v>
      </c>
      <c r="C58">
        <v>49</v>
      </c>
      <c r="D58">
        <v>3715.450413772283</v>
      </c>
      <c r="E58">
        <v>3314.190541876949</v>
      </c>
      <c r="F58">
        <v>3715.450413772283</v>
      </c>
      <c r="G58">
        <v>0</v>
      </c>
      <c r="H58">
        <v>0</v>
      </c>
      <c r="I58">
        <f>F58+G58-H58</f>
        <v>3715.4504137722834</v>
      </c>
      <c r="J58">
        <f>I58-D58</f>
        <v>0.0</v>
      </c>
      <c r="L58">
        <f>E58</f>
        <v>3314.1905418769493</v>
      </c>
      <c r="M58">
        <f>(1+$B$2)^((A58-$B$3)/365)</f>
        <v>3.490576443019749</v>
      </c>
      <c r="N58">
        <f>IF(A58&lt;=$B$4,L58/M58,0)</f>
        <v>0</v>
      </c>
      <c r="O58">
        <f>IF(A58&lt;=$B$5,L58/M58,0)</f>
        <v>0</v>
      </c>
      <c r="P58">
        <f>IF(A58&lt;=$B$6,L58/M58,0)</f>
        <v>949.4679735504645</v>
      </c>
    </row>
    <row r="59" spans="1:16">
      <c r="A59" s="1">
        <v>56614</v>
      </c>
      <c r="B59" s="1">
        <v>56430</v>
      </c>
      <c r="C59">
        <v>50</v>
      </c>
      <c r="D59">
        <v>2192.165054195233</v>
      </c>
      <c r="E59">
        <v>1986.555904449365</v>
      </c>
      <c r="F59">
        <v>3777.032464829283</v>
      </c>
      <c r="G59">
        <v>0</v>
      </c>
      <c r="H59">
        <v>1584.86741063405</v>
      </c>
      <c r="I59">
        <f>F59+G59-H59</f>
        <v>2192.165054195233</v>
      </c>
      <c r="J59">
        <f>I59-D59</f>
        <v>0.0</v>
      </c>
      <c r="L59">
        <f>E59</f>
        <v>1986.5559044493652</v>
      </c>
      <c r="M59">
        <f>(1+$B$2)^((A59-$B$3)/365)</f>
        <v>3.5860714744440183</v>
      </c>
      <c r="N59">
        <f>IF(A59&lt;=$B$4,L59/M59,0)</f>
        <v>0</v>
      </c>
      <c r="O59">
        <f>IF(A59&lt;=$B$5,L59/M59,0)</f>
        <v>0</v>
      </c>
      <c r="P59">
        <f>IF(A59&lt;=$B$6,L59/M59,0)</f>
        <v>553.96439212282</v>
      </c>
    </row>
    <row r="60" spans="1:16">
      <c r="A60" s="1">
        <v>56795</v>
      </c>
      <c r="B60" s="1">
        <v>56614</v>
      </c>
      <c r="C60">
        <v>51</v>
      </c>
      <c r="D60">
        <v>3773.388019274399</v>
      </c>
      <c r="E60">
        <v>3365.740090218491</v>
      </c>
      <c r="F60">
        <v>3773.388019274399</v>
      </c>
      <c r="G60">
        <v>0</v>
      </c>
      <c r="H60">
        <v>0</v>
      </c>
      <c r="I60">
        <f>F60+G60-H60</f>
        <v>3773.388019274399</v>
      </c>
      <c r="J60">
        <f>I60-D60</f>
        <v>0.0</v>
      </c>
      <c r="L60">
        <f>E60</f>
        <v>3365.7400902184913</v>
      </c>
      <c r="M60">
        <f>(1+$B$2)^((A60-$B$3)/365)</f>
        <v>3.682558147385835</v>
      </c>
      <c r="N60">
        <f>IF(A60&lt;=$B$4,L60/M60,0)</f>
        <v>0</v>
      </c>
      <c r="O60">
        <f>IF(A60&lt;=$B$5,L60/M60,0)</f>
        <v>0</v>
      </c>
      <c r="P60">
        <f>IF(A60&lt;=$B$6,L60/M60,0)</f>
        <v>913.9679417167532</v>
      </c>
    </row>
    <row r="61" spans="1:16">
      <c r="A61" s="1">
        <v>56979</v>
      </c>
      <c r="B61" s="1">
        <v>56795</v>
      </c>
      <c r="C61">
        <v>52</v>
      </c>
      <c r="D61">
        <v>2226.356007683385</v>
      </c>
      <c r="E61">
        <v>2016.901546897754</v>
      </c>
      <c r="F61">
        <v>3835.930362135301</v>
      </c>
      <c r="G61">
        <v>0</v>
      </c>
      <c r="H61">
        <v>1609.574354451916</v>
      </c>
      <c r="I61">
        <f>F61+G61-H61</f>
        <v>2226.3560076833846</v>
      </c>
      <c r="J61">
        <f>I61-D61</f>
        <v>0.0</v>
      </c>
      <c r="L61">
        <f>E61</f>
        <v>2016.901546897754</v>
      </c>
      <c r="M61">
        <f>(1+$B$2)^((A61-$B$3)/365)</f>
        <v>3.783305405538439</v>
      </c>
      <c r="N61">
        <f>IF(A61&lt;=$B$4,L61/M61,0)</f>
        <v>0</v>
      </c>
      <c r="O61">
        <f>IF(A61&lt;=$B$5,L61/M61,0)</f>
        <v>0</v>
      </c>
      <c r="P61">
        <f>IF(A61&lt;=$B$6,L61/M61,0)</f>
        <v>533.105665734831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15">
      <c r="A1" t="s">
        <v>41</v>
      </c>
      <c r="B1">
        <v>0.08</v>
      </c>
      <c r="C1" t="s">
        <v>42</v>
      </c>
      <c r="D1">
        <v>0.12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</row>
    <row r="4" spans="1:15">
      <c r="A4" s="1">
        <v>47664</v>
      </c>
      <c r="B4">
        <v>20000</v>
      </c>
      <c r="C4">
        <v>0</v>
      </c>
      <c r="D4">
        <v>0</v>
      </c>
      <c r="E4">
        <v>0</v>
      </c>
      <c r="F4">
        <f>-B4+C4-D4+E4</f>
        <v>-20000.0</v>
      </c>
      <c r="G4">
        <f>F4/((1+$B$1)^((A4-$A$4)/365))</f>
        <v>-20000.0</v>
      </c>
      <c r="H4" s="1">
        <v>47484</v>
      </c>
      <c r="I4">
        <v>500</v>
      </c>
      <c r="J4">
        <v>8475.287260471054</v>
      </c>
      <c r="K4">
        <v>0</v>
      </c>
      <c r="L4">
        <v>0</v>
      </c>
      <c r="M4">
        <v>0</v>
      </c>
      <c r="N4">
        <f>-I4-J4+K4+L4+M4</f>
        <v>-8975.287260471054</v>
      </c>
      <c r="O4">
        <f>N4/((1+$D$1)^((H4-$H$4)/365))</f>
        <v>-8975.287260471054</v>
      </c>
    </row>
    <row r="5" spans="1:15">
      <c r="A5" s="1">
        <v>47848</v>
      </c>
      <c r="B5">
        <v>13000</v>
      </c>
      <c r="C5">
        <v>0</v>
      </c>
      <c r="D5">
        <v>0</v>
      </c>
      <c r="E5">
        <v>0</v>
      </c>
      <c r="F5">
        <f>-B5+C5-D5+E5</f>
        <v>-13000.0</v>
      </c>
      <c r="G5">
        <f>F5/((1+$B$1)^((A5-$A$4)/365))</f>
        <v>-12505.300052479399</v>
      </c>
      <c r="H5" s="1">
        <v>47665</v>
      </c>
      <c r="I5">
        <v>0</v>
      </c>
      <c r="J5">
        <v>0</v>
      </c>
      <c r="K5">
        <v>0</v>
      </c>
      <c r="L5">
        <v>0</v>
      </c>
      <c r="M5">
        <v>0</v>
      </c>
      <c r="N5">
        <f>-I5-J5+K5+L5+M5</f>
        <v>0.0</v>
      </c>
      <c r="O5">
        <f>N5/((1+$D$1)^((H5-$H$4)/365))</f>
        <v>0.0</v>
      </c>
    </row>
    <row r="6" spans="1:15">
      <c r="A6" s="1">
        <v>47907</v>
      </c>
      <c r="B6">
        <v>0</v>
      </c>
      <c r="C6">
        <v>0</v>
      </c>
      <c r="D6">
        <v>0</v>
      </c>
      <c r="E6">
        <v>0</v>
      </c>
      <c r="F6">
        <f>-B6+C6-D6+E6</f>
        <v>0.0</v>
      </c>
      <c r="G6">
        <f>F6/((1+$B$1)^((A6-$A$4)/365))</f>
        <v>0.0</v>
      </c>
      <c r="H6" s="1">
        <v>47849</v>
      </c>
      <c r="I6">
        <v>0</v>
      </c>
      <c r="J6">
        <v>0</v>
      </c>
      <c r="K6">
        <v>0</v>
      </c>
      <c r="L6">
        <v>0</v>
      </c>
      <c r="M6">
        <v>0</v>
      </c>
      <c r="N6">
        <f>-I6-J6+K6+L6+M6</f>
        <v>0.0</v>
      </c>
      <c r="O6">
        <f>N6/((1+$D$1)^((H6-$H$4)/365))</f>
        <v>0.0</v>
      </c>
    </row>
    <row r="7" spans="1:15">
      <c r="A7" s="1">
        <v>48029</v>
      </c>
      <c r="B7">
        <v>0</v>
      </c>
      <c r="C7">
        <v>1445.442630136986</v>
      </c>
      <c r="D7">
        <v>0</v>
      </c>
      <c r="E7">
        <v>0</v>
      </c>
      <c r="F7">
        <f>-B7+C7-D7+E7</f>
        <v>1445.4426301369863</v>
      </c>
      <c r="G7">
        <f>F7/((1+$B$1)^((A7-$A$4)/365))</f>
        <v>1338.3728056823948</v>
      </c>
      <c r="H7" s="1">
        <v>48029</v>
      </c>
      <c r="I7">
        <v>0</v>
      </c>
      <c r="J7">
        <v>0</v>
      </c>
      <c r="K7">
        <v>145.3182730716051</v>
      </c>
      <c r="L7">
        <v>226.6268593484862</v>
      </c>
      <c r="M7">
        <v>0</v>
      </c>
      <c r="N7">
        <f>-I7-J7+K7+L7+M7</f>
        <v>371.94513242009134</v>
      </c>
      <c r="O7">
        <f>N7/((1+$D$1)^((H7-$H$4)/365))</f>
        <v>314.0428827377393</v>
      </c>
    </row>
    <row r="8" spans="1:15">
      <c r="A8" s="1">
        <v>48213</v>
      </c>
      <c r="B8">
        <v>0</v>
      </c>
      <c r="C8">
        <v>2180.011835616438</v>
      </c>
      <c r="D8">
        <v>540.6863788564214</v>
      </c>
      <c r="E8">
        <v>0</v>
      </c>
      <c r="F8">
        <f>-B8+C8-D8+E8</f>
        <v>1639.325456760017</v>
      </c>
      <c r="G8">
        <f>F8/((1+$B$1)^((A8-$A$4)/365))</f>
        <v>1460.1322450464284</v>
      </c>
      <c r="H8" s="1">
        <v>48213</v>
      </c>
      <c r="I8">
        <v>0</v>
      </c>
      <c r="J8">
        <v>0</v>
      </c>
      <c r="K8">
        <v>131.6457596046261</v>
      </c>
      <c r="L8">
        <v>341.7978862305039</v>
      </c>
      <c r="M8">
        <v>0</v>
      </c>
      <c r="N8">
        <f>-I8-J8+K8+L8+M8</f>
        <v>473.4436458351299</v>
      </c>
      <c r="O8">
        <f>N8/((1+$D$1)^((H8-$H$4)/365))</f>
        <v>377.5435809648731</v>
      </c>
    </row>
    <row r="9" spans="1:15">
      <c r="A9" s="1">
        <v>48395</v>
      </c>
      <c r="B9">
        <v>0</v>
      </c>
      <c r="C9">
        <v>2183.88827467541</v>
      </c>
      <c r="D9">
        <v>0</v>
      </c>
      <c r="E9">
        <v>0</v>
      </c>
      <c r="F9">
        <f>-B9+C9-D9+E9</f>
        <v>2183.88827467541</v>
      </c>
      <c r="G9">
        <f>F9/((1+$B$1)^((A9-$A$4)/365))</f>
        <v>1871.9374533968285</v>
      </c>
      <c r="H9" s="1">
        <v>48395</v>
      </c>
      <c r="I9">
        <v>0</v>
      </c>
      <c r="J9">
        <v>0</v>
      </c>
      <c r="K9">
        <v>224.8748486894575</v>
      </c>
      <c r="L9">
        <v>337.1589686132747</v>
      </c>
      <c r="M9">
        <v>0</v>
      </c>
      <c r="N9">
        <f>-I9-J9+K9+L9+M9</f>
        <v>562.0338173027321</v>
      </c>
      <c r="O9">
        <f>N9/((1+$D$1)^((H9-$H$4)/365))</f>
        <v>423.5646006122758</v>
      </c>
    </row>
    <row r="10" spans="1:15">
      <c r="A10" s="1">
        <v>48579</v>
      </c>
      <c r="B10">
        <v>0</v>
      </c>
      <c r="C10">
        <v>2207.88704692459</v>
      </c>
      <c r="D10">
        <v>659.6622398837976</v>
      </c>
      <c r="E10">
        <v>0</v>
      </c>
      <c r="F10">
        <f>-B10+C10-D10+E10</f>
        <v>1548.2248070407923</v>
      </c>
      <c r="G10">
        <f>F10/((1+$B$1)^((A10-$A$4)/365))</f>
        <v>1276.573142803035</v>
      </c>
      <c r="H10" s="1">
        <v>48579</v>
      </c>
      <c r="I10">
        <v>0</v>
      </c>
      <c r="J10">
        <v>0</v>
      </c>
      <c r="K10">
        <v>94.83823751646702</v>
      </c>
      <c r="L10">
        <v>340.8640122244096</v>
      </c>
      <c r="M10">
        <v>0</v>
      </c>
      <c r="N10">
        <f>-I10-J10+K10+L10+M10</f>
        <v>435.7022497408766</v>
      </c>
      <c r="O10">
        <f>N10/((1+$D$1)^((H10-$H$4)/365))</f>
        <v>310.12425529342187</v>
      </c>
    </row>
    <row r="11" spans="1:15">
      <c r="A11" s="1">
        <v>48760</v>
      </c>
      <c r="B11">
        <v>0</v>
      </c>
      <c r="C11">
        <v>2211.726265167936</v>
      </c>
      <c r="D11">
        <v>0</v>
      </c>
      <c r="E11">
        <v>0</v>
      </c>
      <c r="F11">
        <f>-B11+C11-D11+E11</f>
        <v>2211.726265167936</v>
      </c>
      <c r="G11">
        <f>F11/((1+$B$1)^((A11-$A$4)/365))</f>
        <v>1755.3694551236542</v>
      </c>
      <c r="H11" s="1">
        <v>48760</v>
      </c>
      <c r="I11">
        <v>0</v>
      </c>
      <c r="J11">
        <v>0</v>
      </c>
      <c r="K11">
        <v>233.0440771642556</v>
      </c>
      <c r="L11">
        <v>336.2250946071804</v>
      </c>
      <c r="M11">
        <v>0</v>
      </c>
      <c r="N11">
        <f>-I11-J11+K11+L11+M11</f>
        <v>569.269171771436</v>
      </c>
      <c r="O11">
        <f>N11/((1+$D$1)^((H11-$H$4)/365))</f>
        <v>383.05122199418037</v>
      </c>
    </row>
    <row r="12" spans="1:15">
      <c r="A12" s="1">
        <v>48944</v>
      </c>
      <c r="B12">
        <v>0</v>
      </c>
      <c r="C12">
        <v>2248.384711551936</v>
      </c>
      <c r="D12">
        <v>676.7419395662163</v>
      </c>
      <c r="E12">
        <v>0</v>
      </c>
      <c r="F12">
        <f>-B12+C12-D12+E12</f>
        <v>1571.6427719857193</v>
      </c>
      <c r="G12">
        <f>F12/((1+$B$1)^((A12-$A$4)/365))</f>
        <v>1199.8909162104296</v>
      </c>
      <c r="H12" s="1">
        <v>48944</v>
      </c>
      <c r="I12">
        <v>0</v>
      </c>
      <c r="J12">
        <v>0</v>
      </c>
      <c r="K12">
        <v>104.9099111237007</v>
      </c>
      <c r="L12">
        <v>341.7978862305039</v>
      </c>
      <c r="M12">
        <v>0</v>
      </c>
      <c r="N12">
        <f>-I12-J12+K12+L12+M12</f>
        <v>446.70779735420456</v>
      </c>
      <c r="O12">
        <f>N12/((1+$D$1)^((H12-$H$4)/365))</f>
        <v>283.89088098299885</v>
      </c>
    </row>
    <row r="13" spans="1:15">
      <c r="A13" s="1">
        <v>49125</v>
      </c>
      <c r="B13">
        <v>0</v>
      </c>
      <c r="C13">
        <v>2246.137058145137</v>
      </c>
      <c r="D13">
        <v>0</v>
      </c>
      <c r="E13">
        <v>0</v>
      </c>
      <c r="F13">
        <f>-B13+C13-D13+E13</f>
        <v>2246.1370581451365</v>
      </c>
      <c r="G13">
        <f>F13/((1+$B$1)^((A13-$A$4)/365))</f>
        <v>1650.6297156608455</v>
      </c>
      <c r="H13" s="1">
        <v>49125</v>
      </c>
      <c r="I13">
        <v>0</v>
      </c>
      <c r="J13">
        <v>0</v>
      </c>
      <c r="K13">
        <v>241.9735275181446</v>
      </c>
      <c r="L13">
        <v>336.2250946071804</v>
      </c>
      <c r="M13">
        <v>0</v>
      </c>
      <c r="N13">
        <f>-I13-J13+K13+L13+M13</f>
        <v>578.1986221253251</v>
      </c>
      <c r="O13">
        <f>N13/((1+$D$1)^((H13-$H$4)/365))</f>
        <v>347.3747251975703</v>
      </c>
    </row>
    <row r="14" spans="1:15">
      <c r="A14" s="1">
        <v>49309</v>
      </c>
      <c r="B14">
        <v>0</v>
      </c>
      <c r="C14">
        <v>2283.365849164117</v>
      </c>
      <c r="D14">
        <v>694.0906567743917</v>
      </c>
      <c r="E14">
        <v>0</v>
      </c>
      <c r="F14">
        <f>-B14+C14-D14+E14</f>
        <v>1589.2751923897254</v>
      </c>
      <c r="G14">
        <f>F14/((1+$B$1)^((A14-$A$4)/365))</f>
        <v>1123.4746432076226</v>
      </c>
      <c r="H14" s="1">
        <v>49309</v>
      </c>
      <c r="I14">
        <v>0</v>
      </c>
      <c r="J14">
        <v>0</v>
      </c>
      <c r="K14">
        <v>104.8138079225256</v>
      </c>
      <c r="L14">
        <v>341.7978862305039</v>
      </c>
      <c r="M14">
        <v>0</v>
      </c>
      <c r="N14">
        <f>-I14-J14+K14+L14+M14</f>
        <v>446.6116941530295</v>
      </c>
      <c r="O14">
        <f>N14/((1+$D$1)^((H14-$H$4)/365))</f>
        <v>253.4194693404103</v>
      </c>
    </row>
    <row r="15" spans="1:15">
      <c r="A15" s="1">
        <v>49490</v>
      </c>
      <c r="B15">
        <v>0</v>
      </c>
      <c r="C15">
        <v>2281.079673163247</v>
      </c>
      <c r="D15">
        <v>0</v>
      </c>
      <c r="E15">
        <v>0</v>
      </c>
      <c r="F15">
        <f>-B15+C15-D15+E15</f>
        <v>2281.079673163247</v>
      </c>
      <c r="G15">
        <f>F15/((1+$B$1)^((A15-$A$4)/365))</f>
        <v>1552.1371906538739</v>
      </c>
      <c r="H15" s="1">
        <v>49490</v>
      </c>
      <c r="I15">
        <v>0</v>
      </c>
      <c r="J15">
        <v>0</v>
      </c>
      <c r="K15">
        <v>251.0424684244535</v>
      </c>
      <c r="L15">
        <v>336.2250946071804</v>
      </c>
      <c r="M15">
        <v>0</v>
      </c>
      <c r="N15">
        <f>-I15-J15+K15+L15+M15</f>
        <v>587.2675630316339</v>
      </c>
      <c r="O15">
        <f>N15/((1+$D$1)^((H15-$H$4)/365))</f>
        <v>315.02074552762394</v>
      </c>
    </row>
    <row r="16" spans="1:15">
      <c r="A16" s="1">
        <v>49674</v>
      </c>
      <c r="B16">
        <v>0</v>
      </c>
      <c r="C16">
        <v>2318.887623547169</v>
      </c>
      <c r="D16">
        <v>712.1118749148872</v>
      </c>
      <c r="E16">
        <v>0</v>
      </c>
      <c r="F16">
        <f>-B16+C16-D16+E16</f>
        <v>1606.7757486322816</v>
      </c>
      <c r="G16">
        <f>F16/((1+$B$1)^((A16-$A$4)/365))</f>
        <v>1051.7092247304824</v>
      </c>
      <c r="H16" s="1">
        <v>49674</v>
      </c>
      <c r="I16">
        <v>0</v>
      </c>
      <c r="J16">
        <v>0</v>
      </c>
      <c r="K16">
        <v>104.4220133923162</v>
      </c>
      <c r="L16">
        <v>341.7978862305039</v>
      </c>
      <c r="M16">
        <v>0</v>
      </c>
      <c r="N16">
        <f>-I16-J16+K16+L16+M16</f>
        <v>446.2198996228201</v>
      </c>
      <c r="O16">
        <f>N16/((1+$D$1)^((H16-$H$4)/365))</f>
        <v>226.06888803754094</v>
      </c>
    </row>
    <row r="17" spans="1:15">
      <c r="A17" s="1">
        <v>49856</v>
      </c>
      <c r="B17">
        <v>0</v>
      </c>
      <c r="C17">
        <v>2322.996569213331</v>
      </c>
      <c r="D17">
        <v>0</v>
      </c>
      <c r="E17">
        <v>0</v>
      </c>
      <c r="F17">
        <f>-B17+C17-D17+E17</f>
        <v>2322.9965692133305</v>
      </c>
      <c r="G17">
        <f>F17/((1+$B$1)^((A17-$A$4)/365))</f>
        <v>1463.2646860827376</v>
      </c>
      <c r="H17" s="1">
        <v>49856</v>
      </c>
      <c r="I17">
        <v>0</v>
      </c>
      <c r="J17">
        <v>0</v>
      </c>
      <c r="K17">
        <v>260.9759269572056</v>
      </c>
      <c r="L17">
        <v>337.1589686132747</v>
      </c>
      <c r="M17">
        <v>0</v>
      </c>
      <c r="N17">
        <f>-I17-J17+K17+L17+M17</f>
        <v>598.1348955704802</v>
      </c>
      <c r="O17">
        <f>N17/((1+$D$1)^((H17-$H$4)/365))</f>
        <v>286.3844378996715</v>
      </c>
    </row>
    <row r="18" spans="1:15">
      <c r="A18" s="1">
        <v>50040</v>
      </c>
      <c r="B18">
        <v>0</v>
      </c>
      <c r="C18">
        <v>2348.524004039851</v>
      </c>
      <c r="D18">
        <v>879.603160236189</v>
      </c>
      <c r="E18">
        <v>0</v>
      </c>
      <c r="F18">
        <f>-B18+C18-D18+E18</f>
        <v>1468.9208438036617</v>
      </c>
      <c r="G18">
        <f>F18/((1+$B$1)^((A18-$A$4)/365))</f>
        <v>890.0686017221526</v>
      </c>
      <c r="H18" s="1">
        <v>50040</v>
      </c>
      <c r="I18">
        <v>0</v>
      </c>
      <c r="J18">
        <v>0</v>
      </c>
      <c r="K18">
        <v>78.30604371427904</v>
      </c>
      <c r="L18">
        <v>340.8640122244096</v>
      </c>
      <c r="M18">
        <v>0</v>
      </c>
      <c r="N18">
        <f>-I18-J18+K18+L18+M18</f>
        <v>419.1700559386886</v>
      </c>
      <c r="O18">
        <f>N18/((1+$D$1)^((H18-$H$4)/365))</f>
        <v>189.55238272507702</v>
      </c>
    </row>
    <row r="19" spans="1:15">
      <c r="A19" s="1">
        <v>50221</v>
      </c>
      <c r="B19">
        <v>0</v>
      </c>
      <c r="C19">
        <v>2352.593079222681</v>
      </c>
      <c r="D19">
        <v>0</v>
      </c>
      <c r="E19">
        <v>0</v>
      </c>
      <c r="F19">
        <f>-B19+C19-D19+E19</f>
        <v>2352.593079222681</v>
      </c>
      <c r="G19">
        <f>F19/((1+$B$1)^((A19-$A$4)/365))</f>
        <v>1372.1367076649722</v>
      </c>
      <c r="H19" s="1">
        <v>50221</v>
      </c>
      <c r="I19">
        <v>0</v>
      </c>
      <c r="J19">
        <v>0</v>
      </c>
      <c r="K19">
        <v>269.6075247868411</v>
      </c>
      <c r="L19">
        <v>336.2250946071804</v>
      </c>
      <c r="M19">
        <v>0</v>
      </c>
      <c r="N19">
        <f>-I19-J19+K19+L19+M19</f>
        <v>605.8326193940215</v>
      </c>
      <c r="O19">
        <f>N19/((1+$D$1)^((H19-$H$4)/365))</f>
        <v>258.9911386140747</v>
      </c>
    </row>
    <row r="20" spans="1:15">
      <c r="A20" s="1">
        <v>50405</v>
      </c>
      <c r="B20">
        <v>0</v>
      </c>
      <c r="C20">
        <v>2391.586334679411</v>
      </c>
      <c r="D20">
        <v>897.7620553025009</v>
      </c>
      <c r="E20">
        <v>0</v>
      </c>
      <c r="F20">
        <f>-B20+C20-D20+E20</f>
        <v>1493.82427937691</v>
      </c>
      <c r="G20">
        <f>F20/((1+$B$1)^((A20-$A$4)/365))</f>
        <v>838.1096591673356</v>
      </c>
      <c r="H20" s="1">
        <v>50405</v>
      </c>
      <c r="I20">
        <v>0</v>
      </c>
      <c r="J20">
        <v>0</v>
      </c>
      <c r="K20">
        <v>78.39756879521508</v>
      </c>
      <c r="L20">
        <v>341.7978862305039</v>
      </c>
      <c r="M20">
        <v>0</v>
      </c>
      <c r="N20">
        <f>-I20-J20+K20+L20+M20</f>
        <v>420.19545502571896</v>
      </c>
      <c r="O20">
        <f>N20/((1+$D$1)^((H20-$H$4)/365))</f>
        <v>169.6572117882678</v>
      </c>
    </row>
    <row r="21" spans="1:15">
      <c r="A21" s="1">
        <v>50586</v>
      </c>
      <c r="B21">
        <v>0</v>
      </c>
      <c r="C21">
        <v>2389.18053528806</v>
      </c>
      <c r="D21">
        <v>0</v>
      </c>
      <c r="E21">
        <v>0</v>
      </c>
      <c r="F21">
        <f>-B21+C21-D21+E21</f>
        <v>2389.18053528806</v>
      </c>
      <c r="G21">
        <f>F21/((1+$B$1)^((A21-$A$4)/365))</f>
        <v>1290.255681517624</v>
      </c>
      <c r="H21" s="1">
        <v>50586</v>
      </c>
      <c r="I21">
        <v>0</v>
      </c>
      <c r="J21">
        <v>0</v>
      </c>
      <c r="K21">
        <v>279.1080757949528</v>
      </c>
      <c r="L21">
        <v>336.2250946071804</v>
      </c>
      <c r="M21">
        <v>0</v>
      </c>
      <c r="N21">
        <f>-I21-J21+K21+L21+M21</f>
        <v>615.3331704021332</v>
      </c>
      <c r="O21">
        <f>N21/((1+$D$1)^((H21-$H$4)/365))</f>
        <v>234.86838214733828</v>
      </c>
    </row>
    <row r="22" spans="1:15">
      <c r="A22" s="1">
        <v>50770</v>
      </c>
      <c r="B22">
        <v>0</v>
      </c>
      <c r="C22">
        <v>2428.780212668526</v>
      </c>
      <c r="D22">
        <v>916.208169418038</v>
      </c>
      <c r="E22">
        <v>0</v>
      </c>
      <c r="F22">
        <f>-B22+C22-D22+E22</f>
        <v>1512.5720432504877</v>
      </c>
      <c r="G22">
        <f>F22/((1+$B$1)^((A22-$A$4)/365))</f>
        <v>785.7667466723819</v>
      </c>
      <c r="H22" s="1">
        <v>50770</v>
      </c>
      <c r="I22">
        <v>0</v>
      </c>
      <c r="J22">
        <v>0</v>
      </c>
      <c r="K22">
        <v>77.60875610939399</v>
      </c>
      <c r="L22">
        <v>341.7978862305039</v>
      </c>
      <c r="M22">
        <v>0</v>
      </c>
      <c r="N22">
        <f>-I22-J22+K22+L22+M22</f>
        <v>419.40664233989787</v>
      </c>
      <c r="O22">
        <f>N22/((1+$D$1)^((H22-$H$4)/365))</f>
        <v>151.19528792625277</v>
      </c>
    </row>
    <row r="23" spans="1:15">
      <c r="A23" s="1">
        <v>50951</v>
      </c>
      <c r="B23">
        <v>0</v>
      </c>
      <c r="C23">
        <v>2426.333147138884</v>
      </c>
      <c r="D23">
        <v>0</v>
      </c>
      <c r="E23">
        <v>0</v>
      </c>
      <c r="F23">
        <f>-B23+C23-D23+E23</f>
        <v>2426.3331471388838</v>
      </c>
      <c r="G23">
        <f>F23/((1+$B$1)^((A23-$A$4)/365))</f>
        <v>1213.2589063379392</v>
      </c>
      <c r="H23" s="1">
        <v>50951</v>
      </c>
      <c r="I23">
        <v>0</v>
      </c>
      <c r="J23">
        <v>0</v>
      </c>
      <c r="K23">
        <v>288.7569894892612</v>
      </c>
      <c r="L23">
        <v>336.2250946071804</v>
      </c>
      <c r="M23">
        <v>0</v>
      </c>
      <c r="N23">
        <f>-I23-J23+K23+L23+M23</f>
        <v>624.9820840964417</v>
      </c>
      <c r="O23">
        <f>N23/((1+$D$1)^((H23-$H$4)/365))</f>
        <v>212.9922368299994</v>
      </c>
    </row>
    <row r="24" spans="1:15">
      <c r="A24" s="1">
        <v>51135</v>
      </c>
      <c r="B24">
        <v>0</v>
      </c>
      <c r="C24">
        <v>2466.548613666048</v>
      </c>
      <c r="D24">
        <v>934.9320746266224</v>
      </c>
      <c r="E24">
        <v>0</v>
      </c>
      <c r="F24">
        <f>-B24+C24-D24+E24</f>
        <v>1531.6165390394256</v>
      </c>
      <c r="G24">
        <f>F24/((1+$B$1)^((A24-$A$4)/365))</f>
        <v>736.7223894000197</v>
      </c>
      <c r="H24" s="1">
        <v>51135</v>
      </c>
      <c r="I24">
        <v>0</v>
      </c>
      <c r="J24">
        <v>0</v>
      </c>
      <c r="K24">
        <v>76.54757991071972</v>
      </c>
      <c r="L24">
        <v>341.7978862305039</v>
      </c>
      <c r="M24">
        <v>0</v>
      </c>
      <c r="N24">
        <f>-I24-J24+K24+L24+M24</f>
        <v>418.3454661412236</v>
      </c>
      <c r="O24">
        <f>N24/((1+$D$1)^((H24-$H$4)/365))</f>
        <v>134.65422852461774</v>
      </c>
    </row>
    <row r="25" spans="1:15">
      <c r="A25" s="1">
        <v>51317</v>
      </c>
      <c r="B25">
        <v>0</v>
      </c>
      <c r="C25">
        <v>2470.903555703116</v>
      </c>
      <c r="D25">
        <v>0</v>
      </c>
      <c r="E25">
        <v>0</v>
      </c>
      <c r="F25">
        <f>-B25+C25-D25+E25</f>
        <v>2470.9035557031157</v>
      </c>
      <c r="G25">
        <f>F25/((1+$B$1)^((A25-$A$4)/365))</f>
        <v>1143.7827006244177</v>
      </c>
      <c r="H25" s="1">
        <v>51317</v>
      </c>
      <c r="I25">
        <v>0</v>
      </c>
      <c r="J25">
        <v>0</v>
      </c>
      <c r="K25">
        <v>299.3858187746897</v>
      </c>
      <c r="L25">
        <v>337.1589686132747</v>
      </c>
      <c r="M25">
        <v>0</v>
      </c>
      <c r="N25">
        <f>-I25-J25+K25+L25+M25</f>
        <v>636.5447873879643</v>
      </c>
      <c r="O25">
        <f>N25/((1+$D$1)^((H25-$H$4)/365))</f>
        <v>193.62984869981753</v>
      </c>
    </row>
    <row r="26" spans="1:15">
      <c r="A26" s="1">
        <v>51501</v>
      </c>
      <c r="B26">
        <v>0</v>
      </c>
      <c r="C26">
        <v>2498.056342029524</v>
      </c>
      <c r="D26">
        <v>953.9666946472552</v>
      </c>
      <c r="E26">
        <v>0</v>
      </c>
      <c r="F26">
        <f>-B26+C26-D26+E26</f>
        <v>1544.0896473822686</v>
      </c>
      <c r="G26">
        <f>F26/((1+$B$1)^((A26-$A$4)/365))</f>
        <v>687.5606363592454</v>
      </c>
      <c r="H26" s="1">
        <v>51501</v>
      </c>
      <c r="I26">
        <v>0</v>
      </c>
      <c r="J26">
        <v>0</v>
      </c>
      <c r="K26">
        <v>74.40437987074284</v>
      </c>
      <c r="L26">
        <v>340.8640122244096</v>
      </c>
      <c r="M26">
        <v>0</v>
      </c>
      <c r="N26">
        <f>-I26-J26+K26+L26+M26</f>
        <v>415.2683920951524</v>
      </c>
      <c r="O26">
        <f>N26/((1+$D$1)^((H26-$H$4)/365))</f>
        <v>119.30563020453762</v>
      </c>
    </row>
    <row r="27" spans="1:15">
      <c r="A27" s="1">
        <v>51682</v>
      </c>
      <c r="B27">
        <v>0</v>
      </c>
      <c r="C27">
        <v>2502.368572792584</v>
      </c>
      <c r="D27">
        <v>0</v>
      </c>
      <c r="E27">
        <v>0</v>
      </c>
      <c r="F27">
        <f>-B27+C27-D27+E27</f>
        <v>2502.3685727925845</v>
      </c>
      <c r="G27">
        <f>F27/((1+$B$1)^((A27-$A$4)/365))</f>
        <v>1072.5443291038137</v>
      </c>
      <c r="H27" s="1">
        <v>51682</v>
      </c>
      <c r="I27">
        <v>0</v>
      </c>
      <c r="J27">
        <v>0</v>
      </c>
      <c r="K27">
        <v>308.5091573140796</v>
      </c>
      <c r="L27">
        <v>336.2250946071804</v>
      </c>
      <c r="M27">
        <v>0</v>
      </c>
      <c r="N27">
        <f>-I27-J27+K27+L27+M27</f>
        <v>644.73425192126</v>
      </c>
      <c r="O27">
        <f>N27/((1+$D$1)^((H27-$H$4)/365))</f>
        <v>175.10802926735502</v>
      </c>
    </row>
    <row r="28" spans="1:15">
      <c r="A28" s="1">
        <v>51866</v>
      </c>
      <c r="B28">
        <v>0</v>
      </c>
      <c r="C28">
        <v>3088.424073408117</v>
      </c>
      <c r="D28">
        <v>1110.170255877654</v>
      </c>
      <c r="E28">
        <v>0</v>
      </c>
      <c r="F28">
        <f>-B28+C28-D28+E28</f>
        <v>1978.2538175304635</v>
      </c>
      <c r="G28">
        <f>F28/((1+$B$1)^((A28-$A$4)/365))</f>
        <v>815.6366846527765</v>
      </c>
      <c r="H28" s="1">
        <v>51866</v>
      </c>
      <c r="I28">
        <v>0</v>
      </c>
      <c r="J28">
        <v>0</v>
      </c>
      <c r="K28">
        <v>175.4532259296326</v>
      </c>
      <c r="L28">
        <v>341.7978862305039</v>
      </c>
      <c r="M28">
        <v>0</v>
      </c>
      <c r="N28">
        <f>-I28-J28+K28+L28+M28</f>
        <v>517.2511121601365</v>
      </c>
      <c r="O28">
        <f>N28/((1+$D$1)^((H28-$H$4)/365))</f>
        <v>132.68305829641733</v>
      </c>
    </row>
    <row r="29" spans="1:15">
      <c r="A29" s="1">
        <v>52047</v>
      </c>
      <c r="B29">
        <v>0</v>
      </c>
      <c r="C29">
        <v>3085.498199220374</v>
      </c>
      <c r="D29">
        <v>0</v>
      </c>
      <c r="E29">
        <v>0</v>
      </c>
      <c r="F29">
        <f>-B29+C29-D29+E29</f>
        <v>3085.498199220374</v>
      </c>
      <c r="G29">
        <f>F29/((1+$B$1)^((A29-$A$4)/365))</f>
        <v>1224.5189647206269</v>
      </c>
      <c r="H29" s="1">
        <v>52047</v>
      </c>
      <c r="I29">
        <v>0</v>
      </c>
      <c r="J29">
        <v>0</v>
      </c>
      <c r="K29">
        <v>3296.695918299793</v>
      </c>
      <c r="L29">
        <v>336.2250946071804</v>
      </c>
      <c r="M29">
        <v>0</v>
      </c>
      <c r="N29">
        <f>-I29-J29+K29+L29+M29</f>
        <v>3632.9210129069734</v>
      </c>
      <c r="O29">
        <f>N29/((1+$D$1)^((H29-$H$4)/365))</f>
        <v>880.974322197774</v>
      </c>
    </row>
    <row r="30" spans="1:15">
      <c r="A30" s="1">
        <v>52231</v>
      </c>
      <c r="B30">
        <v>0</v>
      </c>
      <c r="C30">
        <v>3136.639053351098</v>
      </c>
      <c r="D30">
        <v>1267.267506314694</v>
      </c>
      <c r="E30">
        <v>0</v>
      </c>
      <c r="F30">
        <f>-B30+C30-D30+E30</f>
        <v>1869.3715470364036</v>
      </c>
      <c r="G30">
        <f>F30/((1+$B$1)^((A30-$A$4)/365))</f>
        <v>713.6522032046917</v>
      </c>
      <c r="H30" s="1">
        <v>52231</v>
      </c>
      <c r="I30">
        <v>0</v>
      </c>
      <c r="J30">
        <v>0</v>
      </c>
      <c r="K30">
        <v>1705.844724717007</v>
      </c>
      <c r="L30">
        <v>341.7978862305039</v>
      </c>
      <c r="M30">
        <v>0</v>
      </c>
      <c r="N30">
        <f>-I30-J30+K30+L30+M30</f>
        <v>2047.6426109475105</v>
      </c>
      <c r="O30">
        <f>N30/((1+$D$1)^((H30-$H$4)/365))</f>
        <v>468.97552260165315</v>
      </c>
    </row>
    <row r="31" spans="1:15">
      <c r="A31" s="1">
        <v>52412</v>
      </c>
      <c r="B31">
        <v>0</v>
      </c>
      <c r="C31">
        <v>3133.663388956016</v>
      </c>
      <c r="D31">
        <v>0</v>
      </c>
      <c r="E31">
        <v>0</v>
      </c>
      <c r="F31">
        <f>-B31+C31-D31+E31</f>
        <v>3133.663388956016</v>
      </c>
      <c r="G31">
        <f>F31/((1+$B$1)^((A31-$A$4)/365))</f>
        <v>1151.5128973448068</v>
      </c>
      <c r="H31" s="1">
        <v>52412</v>
      </c>
      <c r="I31">
        <v>0</v>
      </c>
      <c r="J31">
        <v>0</v>
      </c>
      <c r="K31">
        <v>2797.438294348836</v>
      </c>
      <c r="L31">
        <v>336.2250946071804</v>
      </c>
      <c r="M31">
        <v>0</v>
      </c>
      <c r="N31">
        <f>-I31-J31+K31+L31+M31</f>
        <v>3133.663388956016</v>
      </c>
      <c r="O31">
        <f>N31/((1+$D$1)^((H31-$H$4)/365))</f>
        <v>678.4871325387596</v>
      </c>
    </row>
    <row r="32" spans="1:15">
      <c r="A32" s="1">
        <v>52596</v>
      </c>
      <c r="B32">
        <v>0</v>
      </c>
      <c r="C32">
        <v>3185.602561148658</v>
      </c>
      <c r="D32">
        <v>1291.54086129106</v>
      </c>
      <c r="E32">
        <v>0</v>
      </c>
      <c r="F32">
        <f>-B32+C32-D32+E32</f>
        <v>1894.061699857598</v>
      </c>
      <c r="G32">
        <f>F32/((1+$B$1)^((A32-$A$4)/365))</f>
        <v>669.5166001068694</v>
      </c>
      <c r="H32" s="1">
        <v>52596</v>
      </c>
      <c r="I32">
        <v>0</v>
      </c>
      <c r="J32">
        <v>0</v>
      </c>
      <c r="K32">
        <v>1721.768289985963</v>
      </c>
      <c r="L32">
        <v>341.7978862305039</v>
      </c>
      <c r="M32">
        <v>0</v>
      </c>
      <c r="N32">
        <f>-I32-J32+K32+L32+M32</f>
        <v>2063.5661762164673</v>
      </c>
      <c r="O32">
        <f>N32/((1+$D$1)^((H32-$H$4)/365))</f>
        <v>421.984399427774</v>
      </c>
    </row>
    <row r="33" spans="1:15">
      <c r="A33" s="1">
        <v>52778</v>
      </c>
      <c r="B33">
        <v>0</v>
      </c>
      <c r="C33">
        <v>3191.41593856632</v>
      </c>
      <c r="D33">
        <v>0</v>
      </c>
      <c r="E33">
        <v>0</v>
      </c>
      <c r="F33">
        <f>-B33+C33-D33+E33</f>
        <v>3191.41593856632</v>
      </c>
      <c r="G33">
        <f>F33/((1+$B$1)^((A33-$A$4)/365))</f>
        <v>1085.6367721651593</v>
      </c>
      <c r="H33" s="1">
        <v>52778</v>
      </c>
      <c r="I33">
        <v>0</v>
      </c>
      <c r="J33">
        <v>0</v>
      </c>
      <c r="K33">
        <v>2854.256969953045</v>
      </c>
      <c r="L33">
        <v>337.1589686132747</v>
      </c>
      <c r="M33">
        <v>0</v>
      </c>
      <c r="N33">
        <f>-I33-J33+K33+L33+M33</f>
        <v>3191.41593856632</v>
      </c>
      <c r="O33">
        <f>N33/((1+$D$1)^((H33-$H$4)/365))</f>
        <v>616.7651343077911</v>
      </c>
    </row>
    <row r="34" spans="1:15">
      <c r="A34" s="1">
        <v>52962</v>
      </c>
      <c r="B34">
        <v>0</v>
      </c>
      <c r="C34">
        <v>3226.48644338573</v>
      </c>
      <c r="D34">
        <v>1316.220722063336</v>
      </c>
      <c r="E34">
        <v>0</v>
      </c>
      <c r="F34">
        <f>-B34+C34-D34+E34</f>
        <v>1910.2657213223938</v>
      </c>
      <c r="G34">
        <f>F34/((1+$B$1)^((A34-$A$4)/365))</f>
        <v>625.094506734461</v>
      </c>
      <c r="H34" s="1">
        <v>52962</v>
      </c>
      <c r="I34">
        <v>0</v>
      </c>
      <c r="J34">
        <v>0</v>
      </c>
      <c r="K34">
        <v>1738.908723157957</v>
      </c>
      <c r="L34">
        <v>340.8640122244096</v>
      </c>
      <c r="M34">
        <v>0</v>
      </c>
      <c r="N34">
        <f>-I34-J34+K34+L34+M34</f>
        <v>2079.7727353823666</v>
      </c>
      <c r="O34">
        <f>N34/((1+$D$1)^((H34-$H$4)/365))</f>
        <v>379.61294074785616</v>
      </c>
    </row>
    <row r="35" spans="1:15">
      <c r="A35" s="1">
        <v>53143</v>
      </c>
      <c r="B35">
        <v>0</v>
      </c>
      <c r="C35">
        <v>3232.248301938821</v>
      </c>
      <c r="D35">
        <v>0</v>
      </c>
      <c r="E35">
        <v>0</v>
      </c>
      <c r="F35">
        <f>-B35+C35-D35+E35</f>
        <v>3232.2483019388214</v>
      </c>
      <c r="G35">
        <f>F35/((1+$B$1)^((A35-$A$4)/365))</f>
        <v>1018.0804455002517</v>
      </c>
      <c r="H35" s="1">
        <v>53143</v>
      </c>
      <c r="I35">
        <v>0</v>
      </c>
      <c r="J35">
        <v>0</v>
      </c>
      <c r="K35">
        <v>2896.023207331641</v>
      </c>
      <c r="L35">
        <v>336.2250946071804</v>
      </c>
      <c r="M35">
        <v>0</v>
      </c>
      <c r="N35">
        <f>-I35-J35+K35+L35+M35</f>
        <v>3232.2483019388214</v>
      </c>
      <c r="O35">
        <f>N35/((1+$D$1)^((H35-$H$4)/365))</f>
        <v>557.7288354012882</v>
      </c>
    </row>
    <row r="36" spans="1:15">
      <c r="A36" s="1">
        <v>53327</v>
      </c>
      <c r="B36">
        <v>0</v>
      </c>
      <c r="C36">
        <v>3285.821478214051</v>
      </c>
      <c r="D36">
        <v>1341.253784274081</v>
      </c>
      <c r="E36">
        <v>0</v>
      </c>
      <c r="F36">
        <f>-B36+C36-D36+E36</f>
        <v>1944.5676939399705</v>
      </c>
      <c r="G36">
        <f>F36/((1+$B$1)^((A36-$A$4)/365))</f>
        <v>589.1843610140722</v>
      </c>
      <c r="H36" s="1">
        <v>53327</v>
      </c>
      <c r="I36">
        <v>0</v>
      </c>
      <c r="J36">
        <v>0</v>
      </c>
      <c r="K36">
        <v>1772.275552918888</v>
      </c>
      <c r="L36">
        <v>341.7978862305039</v>
      </c>
      <c r="M36">
        <v>0</v>
      </c>
      <c r="N36">
        <f>-I36-J36+K36+L36+M36</f>
        <v>2114.0734391493916</v>
      </c>
      <c r="O36">
        <f>N36/((1+$D$1)^((H36-$H$4)/365))</f>
        <v>344.53010415311815</v>
      </c>
    </row>
    <row r="37" spans="1:15">
      <c r="A37" s="1">
        <v>53508</v>
      </c>
      <c r="B37">
        <v>0</v>
      </c>
      <c r="C37">
        <v>3282.691242036537</v>
      </c>
      <c r="D37">
        <v>0</v>
      </c>
      <c r="E37">
        <v>0</v>
      </c>
      <c r="F37">
        <f>-B37+C37-D37+E37</f>
        <v>3282.6912420365375</v>
      </c>
      <c r="G37">
        <f>F37/((1+$B$1)^((A37-$A$4)/365))</f>
        <v>957.3784795806557</v>
      </c>
      <c r="H37" s="1">
        <v>53508</v>
      </c>
      <c r="I37">
        <v>0</v>
      </c>
      <c r="J37">
        <v>0</v>
      </c>
      <c r="K37">
        <v>0</v>
      </c>
      <c r="L37">
        <v>336.2250946071804</v>
      </c>
      <c r="M37">
        <v>2946.466147429357</v>
      </c>
      <c r="N37">
        <f>-I37-J37+K37+L37+M37</f>
        <v>3282.6912420365375</v>
      </c>
      <c r="O37">
        <f>N37/((1+$D$1)^((H37-$H$4)/365))</f>
        <v>505.74360110732533</v>
      </c>
    </row>
    <row r="38" spans="1:15">
      <c r="A38" s="1">
        <v>53692</v>
      </c>
      <c r="B38">
        <v>0</v>
      </c>
      <c r="C38">
        <v>3337.100489142116</v>
      </c>
      <c r="D38">
        <v>1366.685353194267</v>
      </c>
      <c r="E38">
        <v>0</v>
      </c>
      <c r="F38">
        <f>-B38+C38-D38+E38</f>
        <v>1970.4151359478487</v>
      </c>
      <c r="G38">
        <f>F38/((1+$B$1)^((A38-$A$4)/365))</f>
        <v>552.7924766192884</v>
      </c>
      <c r="H38" s="1">
        <v>53692</v>
      </c>
      <c r="I38">
        <v>0</v>
      </c>
      <c r="J38">
        <v>0</v>
      </c>
      <c r="K38">
        <v>0</v>
      </c>
      <c r="L38">
        <v>222.9705391341747</v>
      </c>
      <c r="M38">
        <v>1886.978658958252</v>
      </c>
      <c r="N38">
        <f>-I38-J38+K38+L38+M38</f>
        <v>2109.9491980924267</v>
      </c>
      <c r="O38">
        <f>N38/((1+$D$1)^((H38-$H$4)/365))</f>
        <v>307.0160512988225</v>
      </c>
    </row>
    <row r="39" spans="1:15">
      <c r="A39" s="1">
        <v>53873</v>
      </c>
      <c r="B39">
        <v>0</v>
      </c>
      <c r="C39">
        <v>3333.916944683227</v>
      </c>
      <c r="D39">
        <v>0</v>
      </c>
      <c r="E39">
        <v>0</v>
      </c>
      <c r="F39">
        <f>-B39+C39-D39+E39</f>
        <v>3333.916944683227</v>
      </c>
      <c r="G39">
        <f>F39/((1+$B$1)^((A39-$A$4)/365))</f>
        <v>900.2946002770994</v>
      </c>
      <c r="H39" s="1">
        <v>53873</v>
      </c>
      <c r="I39">
        <v>0</v>
      </c>
      <c r="J39">
        <v>0</v>
      </c>
      <c r="K39">
        <v>0</v>
      </c>
      <c r="L39">
        <v>144.4763800962419</v>
      </c>
      <c r="M39">
        <v>3189.440564586985</v>
      </c>
      <c r="N39">
        <f>-I39-J39+K39+L39+M39</f>
        <v>3333.916944683227</v>
      </c>
      <c r="O39">
        <f>N39/((1+$D$1)^((H39-$H$4)/365))</f>
        <v>458.6032348695016</v>
      </c>
    </row>
    <row r="40" spans="1:15">
      <c r="A40" s="1">
        <v>54057</v>
      </c>
      <c r="B40">
        <v>0</v>
      </c>
      <c r="C40">
        <v>3389.175236584054</v>
      </c>
      <c r="D40">
        <v>1392.500943983</v>
      </c>
      <c r="E40">
        <v>0</v>
      </c>
      <c r="F40">
        <f>-B40+C40-D40+E40</f>
        <v>1996.6742926010547</v>
      </c>
      <c r="G40">
        <f>F40/((1+$B$1)^((A40-$A$4)/365))</f>
        <v>518.6660955595554</v>
      </c>
      <c r="H40" s="1">
        <v>54057</v>
      </c>
      <c r="I40">
        <v>0</v>
      </c>
      <c r="J40">
        <v>0</v>
      </c>
      <c r="K40">
        <v>1566.508337281744</v>
      </c>
      <c r="L40">
        <v>18.24481044763805</v>
      </c>
      <c r="M40">
        <v>452.4018894964597</v>
      </c>
      <c r="N40">
        <f>-I40-J40+K40+L40+M40</f>
        <v>2037.1550372258416</v>
      </c>
      <c r="O40">
        <f>N40/((1+$D$1)^((H40-$H$4)/365))</f>
        <v>264.66416482327173</v>
      </c>
    </row>
    <row r="41" spans="1:15">
      <c r="A41" s="1">
        <v>54239</v>
      </c>
      <c r="B41">
        <v>0</v>
      </c>
      <c r="C41">
        <v>3395.341995667023</v>
      </c>
      <c r="D41">
        <v>0</v>
      </c>
      <c r="E41">
        <v>0</v>
      </c>
      <c r="F41">
        <f>-B41+C41-D41+E41</f>
        <v>3395.341995667023</v>
      </c>
      <c r="G41">
        <f>F41/((1+$B$1)^((A41-$A$4)/365))</f>
        <v>848.7857245199832</v>
      </c>
      <c r="H41" s="1">
        <v>54239</v>
      </c>
      <c r="I41">
        <v>0</v>
      </c>
      <c r="J41">
        <v>0</v>
      </c>
      <c r="K41">
        <v>3395.341995667023</v>
      </c>
      <c r="L41">
        <v>0</v>
      </c>
      <c r="M41">
        <v>0</v>
      </c>
      <c r="N41">
        <f>-I41-J41+K41+L41+M41</f>
        <v>3395.341995667023</v>
      </c>
      <c r="O41">
        <f>N41/((1+$D$1)^((H41-$H$4)/365))</f>
        <v>416.88185819155325</v>
      </c>
    </row>
    <row r="42" spans="1:15">
      <c r="A42" s="1">
        <v>54423</v>
      </c>
      <c r="B42">
        <v>0</v>
      </c>
      <c r="C42">
        <v>3432.653446168859</v>
      </c>
      <c r="D42">
        <v>1418.749112943731</v>
      </c>
      <c r="E42">
        <v>0</v>
      </c>
      <c r="F42">
        <f>-B42+C42-D42+E42</f>
        <v>2013.9043332251276</v>
      </c>
      <c r="G42">
        <f>F42/((1+$B$1)^((A42-$A$4)/365))</f>
        <v>484.2884843317708</v>
      </c>
      <c r="H42" s="1">
        <v>54423</v>
      </c>
      <c r="I42">
        <v>0</v>
      </c>
      <c r="J42">
        <v>0</v>
      </c>
      <c r="K42">
        <v>2013.904333225128</v>
      </c>
      <c r="L42">
        <v>0</v>
      </c>
      <c r="M42">
        <v>0</v>
      </c>
      <c r="N42">
        <f>-I42-J42+K42+L42+M42</f>
        <v>2013.9043332251276</v>
      </c>
      <c r="O42">
        <f>N42/((1+$D$1)^((H42-$H$4)/365))</f>
        <v>233.53771682913134</v>
      </c>
    </row>
    <row r="43" spans="1:15">
      <c r="A43" s="1">
        <v>54604</v>
      </c>
      <c r="B43">
        <v>0</v>
      </c>
      <c r="C43">
        <v>3438.765044630741</v>
      </c>
      <c r="D43">
        <v>0</v>
      </c>
      <c r="E43">
        <v>0</v>
      </c>
      <c r="F43">
        <f>-B43+C43-D43+E43</f>
        <v>3438.765044630741</v>
      </c>
      <c r="G43">
        <f>F43/((1+$B$1)^((A43-$A$4)/365))</f>
        <v>795.9637501813486</v>
      </c>
      <c r="H43" s="1">
        <v>54604</v>
      </c>
      <c r="I43">
        <v>0</v>
      </c>
      <c r="J43">
        <v>0</v>
      </c>
      <c r="K43">
        <v>3438.765044630741</v>
      </c>
      <c r="L43">
        <v>0</v>
      </c>
      <c r="M43">
        <v>0</v>
      </c>
      <c r="N43">
        <f>-I43-J43+K43+L43+M43</f>
        <v>3438.765044630741</v>
      </c>
      <c r="O43">
        <f>N43/((1+$D$1)^((H43-$H$4)/365))</f>
        <v>376.97621674447765</v>
      </c>
    </row>
    <row r="44" spans="1:15">
      <c r="A44" s="1">
        <v>54788</v>
      </c>
      <c r="B44">
        <v>0</v>
      </c>
      <c r="C44">
        <v>3495.761150342853</v>
      </c>
      <c r="D44">
        <v>1445.372313563518</v>
      </c>
      <c r="E44">
        <v>0</v>
      </c>
      <c r="F44">
        <f>-B44+C44-D44+E44</f>
        <v>2050.3888367793347</v>
      </c>
      <c r="G44">
        <f>F44/((1+$B$1)^((A44-$A$4)/365))</f>
        <v>456.5388905927833</v>
      </c>
      <c r="H44" s="1">
        <v>54788</v>
      </c>
      <c r="I44">
        <v>0</v>
      </c>
      <c r="J44">
        <v>0</v>
      </c>
      <c r="K44">
        <v>2050.388836779335</v>
      </c>
      <c r="L44">
        <v>0</v>
      </c>
      <c r="M44">
        <v>0</v>
      </c>
      <c r="N44">
        <f>-I44-J44+K44+L44+M44</f>
        <v>2050.3888367793347</v>
      </c>
      <c r="O44">
        <f>N44/((1+$D$1)^((H44-$H$4)/365))</f>
        <v>212.29335460012638</v>
      </c>
    </row>
    <row r="45" spans="1:15">
      <c r="A45" s="1">
        <v>54969</v>
      </c>
      <c r="B45">
        <v>0</v>
      </c>
      <c r="C45">
        <v>3492.412107730891</v>
      </c>
      <c r="D45">
        <v>0</v>
      </c>
      <c r="E45">
        <v>0</v>
      </c>
      <c r="F45">
        <f>-B45+C45-D45+E45</f>
        <v>3492.4121077308905</v>
      </c>
      <c r="G45">
        <f>F45/((1+$B$1)^((A45-$A$4)/365))</f>
        <v>748.5012255879251</v>
      </c>
      <c r="H45" s="1">
        <v>54969</v>
      </c>
      <c r="I45">
        <v>0</v>
      </c>
      <c r="J45">
        <v>0</v>
      </c>
      <c r="K45">
        <v>3492.412107730891</v>
      </c>
      <c r="L45">
        <v>0</v>
      </c>
      <c r="M45">
        <v>0</v>
      </c>
      <c r="N45">
        <f>-I45-J45+K45+L45+M45</f>
        <v>3492.4121077308905</v>
      </c>
      <c r="O45">
        <f>N45/((1+$D$1)^((H45-$H$4)/365))</f>
        <v>341.8368758732613</v>
      </c>
    </row>
    <row r="46" spans="1:15">
      <c r="A46" s="1">
        <v>55153</v>
      </c>
      <c r="B46">
        <v>0</v>
      </c>
      <c r="C46">
        <v>3550.297391284441</v>
      </c>
      <c r="D46">
        <v>1472.419288882953</v>
      </c>
      <c r="E46">
        <v>0</v>
      </c>
      <c r="F46">
        <f>-B46+C46-D46+E46</f>
        <v>2077.878102401488</v>
      </c>
      <c r="G46">
        <f>F46/((1+$B$1)^((A46-$A$4)/365))</f>
        <v>428.38855671751554</v>
      </c>
      <c r="H46" s="1">
        <v>55153</v>
      </c>
      <c r="I46">
        <v>0</v>
      </c>
      <c r="J46">
        <v>0</v>
      </c>
      <c r="K46">
        <v>2077.878102401488</v>
      </c>
      <c r="L46">
        <v>0</v>
      </c>
      <c r="M46">
        <v>0</v>
      </c>
      <c r="N46">
        <f>-I46-J46+K46+L46+M46</f>
        <v>2077.878102401488</v>
      </c>
      <c r="O46">
        <f>N46/((1+$D$1)^((H46-$H$4)/365))</f>
        <v>192.088875715507</v>
      </c>
    </row>
    <row r="47" spans="1:15">
      <c r="A47" s="1">
        <v>55334</v>
      </c>
      <c r="B47">
        <v>0</v>
      </c>
      <c r="C47">
        <v>3546.891270547386</v>
      </c>
      <c r="D47">
        <v>0</v>
      </c>
      <c r="E47">
        <v>0</v>
      </c>
      <c r="F47">
        <f>-B47+C47-D47+E47</f>
        <v>3546.8912705473863</v>
      </c>
      <c r="G47">
        <f>F47/((1+$B$1)^((A47-$A$4)/365))</f>
        <v>703.8678853471926</v>
      </c>
      <c r="H47" s="1">
        <v>55334</v>
      </c>
      <c r="I47">
        <v>0</v>
      </c>
      <c r="J47">
        <v>0</v>
      </c>
      <c r="K47">
        <v>3546.891270547386</v>
      </c>
      <c r="L47">
        <v>0</v>
      </c>
      <c r="M47">
        <v>0</v>
      </c>
      <c r="N47">
        <f>-I47-J47+K47+L47+M47</f>
        <v>3546.8912705473863</v>
      </c>
      <c r="O47">
        <f>N47/((1+$D$1)^((H47-$H$4)/365))</f>
        <v>309.9725801418097</v>
      </c>
    </row>
    <row r="48" spans="1:15">
      <c r="A48" s="1">
        <v>55518</v>
      </c>
      <c r="B48">
        <v>0</v>
      </c>
      <c r="C48">
        <v>3605.679523650382</v>
      </c>
      <c r="D48">
        <v>1499.874343936863</v>
      </c>
      <c r="E48">
        <v>0</v>
      </c>
      <c r="F48">
        <f>-B48+C48-D48+E48</f>
        <v>2105.805179713519</v>
      </c>
      <c r="G48">
        <f>F48/((1+$B$1)^((A48-$A$4)/365))</f>
        <v>401.9872041504237</v>
      </c>
      <c r="H48" s="1">
        <v>55518</v>
      </c>
      <c r="I48">
        <v>0</v>
      </c>
      <c r="J48">
        <v>0</v>
      </c>
      <c r="K48">
        <v>2105.805179713519</v>
      </c>
      <c r="L48">
        <v>0</v>
      </c>
      <c r="M48">
        <v>0</v>
      </c>
      <c r="N48">
        <f>-I48-J48+K48+L48+M48</f>
        <v>2105.805179713519</v>
      </c>
      <c r="O48">
        <f>N48/((1+$D$1)^((H48-$H$4)/365))</f>
        <v>173.81302390867342</v>
      </c>
    </row>
    <row r="49" spans="1:15">
      <c r="A49" s="1">
        <v>55700</v>
      </c>
      <c r="B49">
        <v>0</v>
      </c>
      <c r="C49">
        <v>3612.220588329394</v>
      </c>
      <c r="D49">
        <v>0</v>
      </c>
      <c r="E49">
        <v>0</v>
      </c>
      <c r="F49">
        <f>-B49+C49-D49+E49</f>
        <v>3612.220588329394</v>
      </c>
      <c r="G49">
        <f>F49/((1+$B$1)^((A49-$A$4)/365))</f>
        <v>663.5936343294685</v>
      </c>
      <c r="H49" s="1">
        <v>55700</v>
      </c>
      <c r="I49">
        <v>0</v>
      </c>
      <c r="J49">
        <v>0</v>
      </c>
      <c r="K49">
        <v>3612.220588329394</v>
      </c>
      <c r="L49">
        <v>0</v>
      </c>
      <c r="M49">
        <v>0</v>
      </c>
      <c r="N49">
        <f>-I49-J49+K49+L49+M49</f>
        <v>3612.220588329394</v>
      </c>
      <c r="O49">
        <f>N49/((1+$D$1)^((H49-$H$4)/365))</f>
        <v>281.7713286877564</v>
      </c>
    </row>
    <row r="50" spans="1:15">
      <c r="A50" s="1">
        <v>55884</v>
      </c>
      <c r="B50">
        <v>0</v>
      </c>
      <c r="C50">
        <v>3651.915320069278</v>
      </c>
      <c r="D50">
        <v>1527.789678928295</v>
      </c>
      <c r="E50">
        <v>0</v>
      </c>
      <c r="F50">
        <f>-B50+C50-D50+E50</f>
        <v>2124.1256411409836</v>
      </c>
      <c r="G50">
        <f>F50/((1+$B$1)^((A50-$A$4)/365))</f>
        <v>375.3694409511183</v>
      </c>
      <c r="H50" s="1">
        <v>55884</v>
      </c>
      <c r="I50">
        <v>0</v>
      </c>
      <c r="J50">
        <v>0</v>
      </c>
      <c r="K50">
        <v>2124.125641140984</v>
      </c>
      <c r="L50">
        <v>0</v>
      </c>
      <c r="M50">
        <v>0</v>
      </c>
      <c r="N50">
        <f>-I50-J50+K50+L50+M50</f>
        <v>2124.1256411409836</v>
      </c>
      <c r="O50">
        <f>N50/((1+$D$1)^((H50-$H$4)/365))</f>
        <v>156.49175484360327</v>
      </c>
    </row>
    <row r="51" spans="1:15">
      <c r="A51" s="1">
        <v>56065</v>
      </c>
      <c r="B51">
        <v>0</v>
      </c>
      <c r="C51">
        <v>3658.397321632615</v>
      </c>
      <c r="D51">
        <v>0</v>
      </c>
      <c r="E51">
        <v>0</v>
      </c>
      <c r="F51">
        <f>-B51+C51-D51+E51</f>
        <v>3658.397321632615</v>
      </c>
      <c r="G51">
        <f>F51/((1+$B$1)^((A51-$A$4)/365))</f>
        <v>622.2932104441268</v>
      </c>
      <c r="H51" s="1">
        <v>56065</v>
      </c>
      <c r="I51">
        <v>0</v>
      </c>
      <c r="J51">
        <v>0</v>
      </c>
      <c r="K51">
        <v>3658.397321632615</v>
      </c>
      <c r="L51">
        <v>0</v>
      </c>
      <c r="M51">
        <v>0</v>
      </c>
      <c r="N51">
        <f>-I51-J51+K51+L51+M51</f>
        <v>3658.397321632615</v>
      </c>
      <c r="O51">
        <f>N51/((1+$D$1)^((H51-$H$4)/365))</f>
        <v>254.7976299622788</v>
      </c>
    </row>
    <row r="52" spans="1:15">
      <c r="A52" s="1">
        <v>56249</v>
      </c>
      <c r="B52">
        <v>0</v>
      </c>
      <c r="C52">
        <v>3719.033741328184</v>
      </c>
      <c r="D52">
        <v>1556.103235020319</v>
      </c>
      <c r="E52">
        <v>0</v>
      </c>
      <c r="F52">
        <f>-B52+C52-D52+E52</f>
        <v>2162.930506307865</v>
      </c>
      <c r="G52">
        <f>F52/((1+$B$1)^((A52-$A$4)/365))</f>
        <v>353.9138206832683</v>
      </c>
      <c r="H52" s="1">
        <v>56249</v>
      </c>
      <c r="I52">
        <v>0</v>
      </c>
      <c r="J52">
        <v>0</v>
      </c>
      <c r="K52">
        <v>2162.930506307865</v>
      </c>
      <c r="L52">
        <v>0</v>
      </c>
      <c r="M52">
        <v>0</v>
      </c>
      <c r="N52">
        <f>-I52-J52+K52+L52+M52</f>
        <v>2162.930506307865</v>
      </c>
      <c r="O52">
        <f>N52/((1+$D$1)^((H52-$H$4)/365))</f>
        <v>142.27736142220408</v>
      </c>
    </row>
    <row r="53" spans="1:15">
      <c r="A53" s="1">
        <v>56430</v>
      </c>
      <c r="B53">
        <v>0</v>
      </c>
      <c r="C53">
        <v>3715.450413772283</v>
      </c>
      <c r="D53">
        <v>0</v>
      </c>
      <c r="E53">
        <v>0</v>
      </c>
      <c r="F53">
        <f>-B53+C53-D53+E53</f>
        <v>3715.4504137722834</v>
      </c>
      <c r="G53">
        <f>F53/((1+$B$1)^((A53-$A$4)/365))</f>
        <v>585.1832765778452</v>
      </c>
      <c r="H53" s="1">
        <v>56430</v>
      </c>
      <c r="I53">
        <v>0</v>
      </c>
      <c r="J53">
        <v>0</v>
      </c>
      <c r="K53">
        <v>3715.450413772283</v>
      </c>
      <c r="L53">
        <v>0</v>
      </c>
      <c r="M53">
        <v>0</v>
      </c>
      <c r="N53">
        <f>-I53-J53+K53+L53+M53</f>
        <v>3715.4504137722834</v>
      </c>
      <c r="O53">
        <f>N53/((1+$D$1)^((H53-$H$4)/365))</f>
        <v>231.04573739201894</v>
      </c>
    </row>
    <row r="54" spans="1:15">
      <c r="A54" s="1">
        <v>56614</v>
      </c>
      <c r="B54">
        <v>0</v>
      </c>
      <c r="C54">
        <v>3777.032464829283</v>
      </c>
      <c r="D54">
        <v>1584.86741063405</v>
      </c>
      <c r="E54">
        <v>0</v>
      </c>
      <c r="F54">
        <f>-B54+C54-D54+E54</f>
        <v>2192.165054195233</v>
      </c>
      <c r="G54">
        <f>F54/((1+$B$1)^((A54-$A$4)/365))</f>
        <v>332.1272054862108</v>
      </c>
      <c r="H54" s="1">
        <v>56614</v>
      </c>
      <c r="I54">
        <v>0</v>
      </c>
      <c r="J54">
        <v>0</v>
      </c>
      <c r="K54">
        <v>2192.165054195233</v>
      </c>
      <c r="L54">
        <v>0</v>
      </c>
      <c r="M54">
        <v>0</v>
      </c>
      <c r="N54">
        <f>-I54-J54+K54+L54+M54</f>
        <v>2192.165054195233</v>
      </c>
      <c r="O54">
        <f>N54/((1+$D$1)^((H54-$H$4)/365))</f>
        <v>128.7503635540763</v>
      </c>
    </row>
    <row r="55" spans="1:15">
      <c r="A55" s="1">
        <v>56795</v>
      </c>
      <c r="B55">
        <v>0</v>
      </c>
      <c r="C55">
        <v>3773.388019274399</v>
      </c>
      <c r="D55">
        <v>0</v>
      </c>
      <c r="E55">
        <v>0</v>
      </c>
      <c r="F55">
        <f>-B55+C55-D55+E55</f>
        <v>3773.388019274399</v>
      </c>
      <c r="G55">
        <f>F55/((1+$B$1)^((A55-$A$4)/365))</f>
        <v>550.2855989754032</v>
      </c>
      <c r="H55" s="1">
        <v>56795</v>
      </c>
      <c r="I55">
        <v>0</v>
      </c>
      <c r="J55">
        <v>0</v>
      </c>
      <c r="K55">
        <v>3773.388019274399</v>
      </c>
      <c r="L55">
        <v>0</v>
      </c>
      <c r="M55">
        <v>0</v>
      </c>
      <c r="N55">
        <f>-I55-J55+K55+L55+M55</f>
        <v>3773.388019274399</v>
      </c>
      <c r="O55">
        <f>N55/((1+$D$1)^((H55-$H$4)/365))</f>
        <v>209.50767362547376</v>
      </c>
    </row>
    <row r="56" spans="1:15">
      <c r="A56" s="1">
        <v>56979</v>
      </c>
      <c r="B56">
        <v>0</v>
      </c>
      <c r="C56">
        <v>3835.930362135301</v>
      </c>
      <c r="D56">
        <v>1609.574354451916</v>
      </c>
      <c r="E56">
        <v>0</v>
      </c>
      <c r="F56">
        <f>-B56+C56-D56+E56</f>
        <v>2226.3560076833846</v>
      </c>
      <c r="G56">
        <f>F56/((1+$B$1)^((A56-$A$4)/365))</f>
        <v>312.32162630738907</v>
      </c>
      <c r="H56" s="1">
        <v>56979</v>
      </c>
      <c r="I56">
        <v>0</v>
      </c>
      <c r="J56">
        <v>0</v>
      </c>
      <c r="K56">
        <v>2226.356007683385</v>
      </c>
      <c r="L56">
        <v>0</v>
      </c>
      <c r="M56">
        <v>0</v>
      </c>
      <c r="N56">
        <f>-I56-J56+K56+L56+M56</f>
        <v>2226.3560076833846</v>
      </c>
      <c r="O56">
        <f>N56/((1+$D$1)^((H56-$H$4)/365))</f>
        <v>116.74863267247545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7">
      <c r="A1" t="s">
        <v>16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9</v>
      </c>
    </row>
    <row r="2" spans="1:7">
      <c r="A2" s="1">
        <v>47908</v>
      </c>
      <c r="B2">
        <v>3</v>
      </c>
      <c r="C2">
        <v>26925.86178141316</v>
      </c>
      <c r="D2">
        <v>25</v>
      </c>
      <c r="E2">
        <f>SUMPRODUCT(('2_sol_BANK_Inputs'!$C$12:$C$61&gt;=B2)*('2_sol_BANK_Inputs'!$C$12:$C$61&lt;=D2)*'2_sol_BANK_Inputs'!$L$12:$L$61/((1+'2_sol_BANK_Inputs'!$B$2)^(('2_sol_BANK_Inputs'!$A$12:$A$61-A2)/365)))/C2</f>
        <v>1.2333444654308479</v>
      </c>
      <c r="F2">
        <v>1.233344465430849</v>
      </c>
      <c r="G2">
        <f>E2-F2</f>
        <v>-6.661338147750939e-16</v>
      </c>
    </row>
    <row r="3" spans="1:7">
      <c r="A3" s="1">
        <v>48029</v>
      </c>
      <c r="B3">
        <v>4</v>
      </c>
      <c r="C3">
        <v>26350.11875634989</v>
      </c>
      <c r="D3">
        <v>25</v>
      </c>
      <c r="E3">
        <f>SUMPRODUCT(('2_sol_BANK_Inputs'!$C$12:$C$61&gt;=B3)*('2_sol_BANK_Inputs'!$C$12:$C$61&lt;=D3)*'2_sol_BANK_Inputs'!$L$12:$L$61/((1+'2_sol_BANK_Inputs'!$B$2)^(('2_sol_BANK_Inputs'!$A$12:$A$61-A3)/365)))/C3</f>
        <v>1.2339737959809312</v>
      </c>
      <c r="F3">
        <v>1.233973795980932</v>
      </c>
      <c r="G3">
        <f>E3-F3</f>
        <v>-6.661338147750939e-16</v>
      </c>
    </row>
    <row r="4" spans="1:7">
      <c r="A4" s="1">
        <v>48213</v>
      </c>
      <c r="B4">
        <v>5</v>
      </c>
      <c r="C4">
        <v>25471.80446610792</v>
      </c>
      <c r="D4">
        <v>25</v>
      </c>
      <c r="E4">
        <f>SUMPRODUCT(('2_sol_BANK_Inputs'!$C$12:$C$61&gt;=B4)*('2_sol_BANK_Inputs'!$C$12:$C$61&lt;=D4)*'2_sol_BANK_Inputs'!$L$12:$L$61/((1+'2_sol_BANK_Inputs'!$B$2)^(('2_sol_BANK_Inputs'!$A$12:$A$61-A4)/365)))/C4</f>
        <v>1.2351718250490131</v>
      </c>
      <c r="F4">
        <v>1.235171825049013</v>
      </c>
      <c r="G4">
        <f>E4-F4</f>
        <v>-2.220446049250313e-16</v>
      </c>
    </row>
    <row r="5" spans="1:7">
      <c r="A5" s="1">
        <v>48395</v>
      </c>
      <c r="B5">
        <v>6</v>
      </c>
      <c r="C5">
        <v>24558.20768291785</v>
      </c>
      <c r="D5">
        <v>25</v>
      </c>
      <c r="E5">
        <f>SUMPRODUCT(('2_sol_BANK_Inputs'!$C$12:$C$61&gt;=B5)*('2_sol_BANK_Inputs'!$C$12:$C$61&lt;=D5)*'2_sol_BANK_Inputs'!$L$12:$L$61/((1+'2_sol_BANK_Inputs'!$B$2)^(('2_sol_BANK_Inputs'!$A$12:$A$61-A5)/365)))/C5</f>
        <v>1.2365351107395026</v>
      </c>
      <c r="F5">
        <v>1.236535110739503</v>
      </c>
      <c r="G5">
        <f>E5-F5</f>
        <v>-2.220446049250313e-16</v>
      </c>
    </row>
    <row r="6" spans="1:7">
      <c r="A6" s="1">
        <v>48579</v>
      </c>
      <c r="B6">
        <v>7</v>
      </c>
      <c r="C6">
        <v>23616.95341666586</v>
      </c>
      <c r="D6">
        <v>25</v>
      </c>
      <c r="E6">
        <f>SUMPRODUCT(('2_sol_BANK_Inputs'!$C$12:$C$61&gt;=B6)*('2_sol_BANK_Inputs'!$C$12:$C$61&lt;=D6)*'2_sol_BANK_Inputs'!$L$12:$L$61/((1+'2_sol_BANK_Inputs'!$B$2)^(('2_sol_BANK_Inputs'!$A$12:$A$61-A6)/365)))/C6</f>
        <v>1.2380907720598169</v>
      </c>
      <c r="F6">
        <v>1.238090772059817</v>
      </c>
      <c r="G6">
        <f>E6-F6</f>
        <v>-2.220446049250313e-16</v>
      </c>
    </row>
    <row r="7" spans="1:7">
      <c r="A7" s="1">
        <v>48760</v>
      </c>
      <c r="B7">
        <v>8</v>
      </c>
      <c r="C7">
        <v>22627.57068788855</v>
      </c>
      <c r="D7">
        <v>25</v>
      </c>
      <c r="E7">
        <f>SUMPRODUCT(('2_sol_BANK_Inputs'!$C$12:$C$61&gt;=B7)*('2_sol_BANK_Inputs'!$C$12:$C$61&lt;=D7)*'2_sol_BANK_Inputs'!$L$12:$L$61/((1+'2_sol_BANK_Inputs'!$B$2)^(('2_sol_BANK_Inputs'!$A$12:$A$61-A7)/365)))/C7</f>
        <v>1.2398905840270011</v>
      </c>
      <c r="F7">
        <v>1.239890584027002</v>
      </c>
      <c r="G7">
        <f>E7-F7</f>
        <v>-4.440892098500626e-16</v>
      </c>
    </row>
    <row r="8" spans="1:7">
      <c r="A8" s="1">
        <v>48944</v>
      </c>
      <c r="B8">
        <v>9</v>
      </c>
      <c r="C8">
        <v>21647.00123345835</v>
      </c>
      <c r="D8">
        <v>25</v>
      </c>
      <c r="E8">
        <f>SUMPRODUCT(('2_sol_BANK_Inputs'!$C$12:$C$61&gt;=B8)*('2_sol_BANK_Inputs'!$C$12:$C$61&lt;=D8)*'2_sol_BANK_Inputs'!$L$12:$L$61/((1+'2_sol_BANK_Inputs'!$B$2)^(('2_sol_BANK_Inputs'!$A$12:$A$61-A8)/365)))/C8</f>
        <v>1.241893586216639</v>
      </c>
      <c r="F8">
        <v>1.241893586216639</v>
      </c>
      <c r="G8">
        <f>E8-F8</f>
        <v>-4.440892098500626e-16</v>
      </c>
    </row>
    <row r="9" spans="1:7">
      <c r="A9" s="1">
        <v>49125</v>
      </c>
      <c r="B9">
        <v>10</v>
      </c>
      <c r="C9">
        <v>20577.66251210264</v>
      </c>
      <c r="D9">
        <v>25</v>
      </c>
      <c r="E9">
        <f>SUMPRODUCT(('2_sol_BANK_Inputs'!$C$12:$C$61&gt;=B9)*('2_sol_BANK_Inputs'!$C$12:$C$61&lt;=D9)*'2_sol_BANK_Inputs'!$L$12:$L$61/((1+'2_sol_BANK_Inputs'!$B$2)^(('2_sol_BANK_Inputs'!$A$12:$A$61-A9)/365)))/C9</f>
        <v>1.244313630134285</v>
      </c>
      <c r="F9">
        <v>1.244313630134285</v>
      </c>
      <c r="G9">
        <f>E9-F9</f>
        <v>-2.220446049250313e-16</v>
      </c>
    </row>
    <row r="10" spans="1:7">
      <c r="A10" s="1">
        <v>49309</v>
      </c>
      <c r="B10">
        <v>11</v>
      </c>
      <c r="C10">
        <v>19549.76916056789</v>
      </c>
      <c r="D10">
        <v>25</v>
      </c>
      <c r="E10">
        <f>SUMPRODUCT(('2_sol_BANK_Inputs'!$C$12:$C$61&gt;=B10)*('2_sol_BANK_Inputs'!$C$12:$C$61&lt;=D10)*'2_sol_BANK_Inputs'!$L$12:$L$61/((1+'2_sol_BANK_Inputs'!$B$2)^(('2_sol_BANK_Inputs'!$A$12:$A$61-A10)/365)))/C10</f>
        <v>1.2469683297873841</v>
      </c>
      <c r="F10">
        <v>1.246968329787384</v>
      </c>
      <c r="G10">
        <f>E10-F10</f>
        <v>-2.220446049250313e-16</v>
      </c>
    </row>
    <row r="11" spans="1:7">
      <c r="A11" s="1">
        <v>49490</v>
      </c>
      <c r="B11">
        <v>12</v>
      </c>
      <c r="C11">
        <v>18396.56247264031</v>
      </c>
      <c r="D11">
        <v>25</v>
      </c>
      <c r="E11">
        <f>SUMPRODUCT(('2_sol_BANK_Inputs'!$C$12:$C$61&gt;=B11)*('2_sol_BANK_Inputs'!$C$12:$C$61&lt;=D11)*'2_sol_BANK_Inputs'!$L$12:$L$61/((1+'2_sol_BANK_Inputs'!$B$2)^(('2_sol_BANK_Inputs'!$A$12:$A$61-A11)/365)))/C11</f>
        <v>1.2503031642327935</v>
      </c>
      <c r="F11">
        <v>1.250303164232794</v>
      </c>
      <c r="G11">
        <f>E11-F11</f>
        <v>-2.220446049250313e-16</v>
      </c>
    </row>
    <row r="12" spans="1:7">
      <c r="A12" s="1">
        <v>49674</v>
      </c>
      <c r="B12">
        <v>13</v>
      </c>
      <c r="C12">
        <v>17319.29684217019</v>
      </c>
      <c r="D12">
        <v>25</v>
      </c>
      <c r="E12">
        <f>SUMPRODUCT(('2_sol_BANK_Inputs'!$C$12:$C$61&gt;=B12)*('2_sol_BANK_Inputs'!$C$12:$C$61&lt;=D12)*'2_sol_BANK_Inputs'!$L$12:$L$61/((1+'2_sol_BANK_Inputs'!$B$2)^(('2_sol_BANK_Inputs'!$A$12:$A$61-A12)/365)))/C12</f>
        <v>1.2539338240088063</v>
      </c>
      <c r="F12">
        <v>1.253933824008806</v>
      </c>
      <c r="G12">
        <f>E12-F12</f>
        <v>-2.220446049250313e-16</v>
      </c>
    </row>
    <row r="13" spans="1:7">
      <c r="A13" s="1">
        <v>49856</v>
      </c>
      <c r="B13">
        <v>14</v>
      </c>
      <c r="C13">
        <v>16076.00783905546</v>
      </c>
      <c r="D13">
        <v>25</v>
      </c>
      <c r="E13">
        <f>SUMPRODUCT(('2_sol_BANK_Inputs'!$C$12:$C$61&gt;=B13)*('2_sol_BANK_Inputs'!$C$12:$C$61&lt;=D13)*'2_sol_BANK_Inputs'!$L$12:$L$61/((1+'2_sol_BANK_Inputs'!$B$2)^(('2_sol_BANK_Inputs'!$A$12:$A$61-A13)/365)))/C13</f>
        <v>1.2587088339239423</v>
      </c>
      <c r="F13">
        <v>1.258708833923943</v>
      </c>
      <c r="G13">
        <f>E13-F13</f>
        <v>-2.220446049250313e-16</v>
      </c>
    </row>
    <row r="14" spans="1:7">
      <c r="A14" s="1">
        <v>50040</v>
      </c>
      <c r="B14">
        <v>15</v>
      </c>
      <c r="C14">
        <v>15075.37840665659</v>
      </c>
      <c r="D14">
        <v>25</v>
      </c>
      <c r="E14">
        <f>SUMPRODUCT(('2_sol_BANK_Inputs'!$C$12:$C$61&gt;=B14)*('2_sol_BANK_Inputs'!$C$12:$C$61&lt;=D14)*'2_sol_BANK_Inputs'!$L$12:$L$61/((1+'2_sol_BANK_Inputs'!$B$2)^(('2_sol_BANK_Inputs'!$A$12:$A$61-A14)/365)))/C14</f>
        <v>1.2633546226316876</v>
      </c>
      <c r="F14">
        <v>1.263354622631688</v>
      </c>
      <c r="G14">
        <f>E14-F14</f>
        <v>0.0</v>
      </c>
    </row>
    <row r="15" spans="1:7">
      <c r="A15" s="1">
        <v>50221</v>
      </c>
      <c r="B15">
        <v>16</v>
      </c>
      <c r="C15">
        <v>13745.49403582312</v>
      </c>
      <c r="D15">
        <v>25</v>
      </c>
      <c r="E15">
        <f>SUMPRODUCT(('2_sol_BANK_Inputs'!$C$12:$C$61&gt;=B15)*('2_sol_BANK_Inputs'!$C$12:$C$61&lt;=D15)*'2_sol_BANK_Inputs'!$L$12:$L$61/((1+'2_sol_BANK_Inputs'!$B$2)^(('2_sol_BANK_Inputs'!$A$12:$A$61-A15)/365)))/C15</f>
        <v>1.2703708618687024</v>
      </c>
      <c r="F15">
        <v>1.270370861868703</v>
      </c>
      <c r="G15">
        <f>E15-F15</f>
        <v>-2.220446049250313e-16</v>
      </c>
    </row>
    <row r="16" spans="1:7">
      <c r="A16" s="1">
        <v>50405</v>
      </c>
      <c r="B16">
        <v>17</v>
      </c>
      <c r="C16">
        <v>12688.03245995444</v>
      </c>
      <c r="D16">
        <v>25</v>
      </c>
      <c r="E16">
        <f>SUMPRODUCT(('2_sol_BANK_Inputs'!$C$12:$C$61&gt;=B16)*('2_sol_BANK_Inputs'!$C$12:$C$61&lt;=D16)*'2_sol_BANK_Inputs'!$L$12:$L$61/((1+'2_sol_BANK_Inputs'!$B$2)^(('2_sol_BANK_Inputs'!$A$12:$A$61-A16)/365)))/C16</f>
        <v>1.2773423395046875</v>
      </c>
      <c r="F16">
        <v>1.277342339504688</v>
      </c>
      <c r="G16">
        <f>E16-F16</f>
        <v>-2.220446049250313e-16</v>
      </c>
    </row>
    <row r="17" spans="1:7">
      <c r="A17" s="1">
        <v>50586</v>
      </c>
      <c r="B17">
        <v>18</v>
      </c>
      <c r="C17">
        <v>11265.04443712087</v>
      </c>
      <c r="D17">
        <v>25</v>
      </c>
      <c r="E17">
        <f>SUMPRODUCT(('2_sol_BANK_Inputs'!$C$12:$C$61&gt;=B17)*('2_sol_BANK_Inputs'!$C$12:$C$61&lt;=D17)*'2_sol_BANK_Inputs'!$L$12:$L$61/((1+'2_sol_BANK_Inputs'!$B$2)^(('2_sol_BANK_Inputs'!$A$12:$A$61-A17)/365)))/C17</f>
        <v>1.2884465793994906</v>
      </c>
      <c r="F17">
        <v>1.288446579399491</v>
      </c>
      <c r="G17">
        <f>E17-F17</f>
        <v>0.0</v>
      </c>
    </row>
    <row r="18" spans="1:7">
      <c r="A18" s="1">
        <v>50770</v>
      </c>
      <c r="B18">
        <v>19</v>
      </c>
      <c r="C18">
        <v>10152.25999479095</v>
      </c>
      <c r="D18">
        <v>25</v>
      </c>
      <c r="E18">
        <f>SUMPRODUCT(('2_sol_BANK_Inputs'!$C$12:$C$61&gt;=B18)*('2_sol_BANK_Inputs'!$C$12:$C$61&lt;=D18)*'2_sol_BANK_Inputs'!$L$12:$L$61/((1+'2_sol_BANK_Inputs'!$B$2)^(('2_sol_BANK_Inputs'!$A$12:$A$61-A18)/365)))/C18</f>
        <v>1.2998232572126673</v>
      </c>
      <c r="F18">
        <v>1.299823257212667</v>
      </c>
      <c r="G18">
        <f>E18-F18</f>
        <v>0.0</v>
      </c>
    </row>
    <row r="19" spans="1:7">
      <c r="A19" s="1">
        <v>50951</v>
      </c>
      <c r="B19">
        <v>20</v>
      </c>
      <c r="C19">
        <v>8631.647121326681</v>
      </c>
      <c r="D19">
        <v>25</v>
      </c>
      <c r="E19">
        <f>SUMPRODUCT(('2_sol_BANK_Inputs'!$C$12:$C$61&gt;=B19)*('2_sol_BANK_Inputs'!$C$12:$C$61&lt;=D19)*'2_sol_BANK_Inputs'!$L$12:$L$61/((1+'2_sol_BANK_Inputs'!$B$2)^(('2_sol_BANK_Inputs'!$A$12:$A$61-A19)/365)))/C19</f>
        <v>1.319513767015861</v>
      </c>
      <c r="F19">
        <v>1.319513767015861</v>
      </c>
      <c r="G19">
        <f>E19-F19</f>
        <v>0.0</v>
      </c>
    </row>
    <row r="20" spans="1:7">
      <c r="A20" s="1">
        <v>51135</v>
      </c>
      <c r="B20">
        <v>21</v>
      </c>
      <c r="C20">
        <v>7460.773717972776</v>
      </c>
      <c r="D20">
        <v>25</v>
      </c>
      <c r="E20">
        <f>SUMPRODUCT(('2_sol_BANK_Inputs'!$C$12:$C$61&gt;=B20)*('2_sol_BANK_Inputs'!$C$12:$C$61&lt;=D20)*'2_sol_BANK_Inputs'!$L$12:$L$61/((1+'2_sol_BANK_Inputs'!$B$2)^(('2_sol_BANK_Inputs'!$A$12:$A$61-A20)/365)))/C20</f>
        <v>1.341007086914652</v>
      </c>
      <c r="F20">
        <v>1.341007086914652</v>
      </c>
      <c r="G20">
        <f>E20-F20</f>
        <v>-2.220446049250313e-16</v>
      </c>
    </row>
    <row r="21" spans="1:7">
      <c r="A21" s="1">
        <v>51317</v>
      </c>
      <c r="B21">
        <v>22</v>
      </c>
      <c r="C21">
        <v>5833.865907760146</v>
      </c>
      <c r="D21">
        <v>25</v>
      </c>
      <c r="E21">
        <f>SUMPRODUCT(('2_sol_BANK_Inputs'!$C$12:$C$61&gt;=B21)*('2_sol_BANK_Inputs'!$C$12:$C$61&lt;=D21)*'2_sol_BANK_Inputs'!$L$12:$L$61/((1+'2_sol_BANK_Inputs'!$B$2)^(('2_sol_BANK_Inputs'!$A$12:$A$61-A21)/365)))/C21</f>
        <v>1.3840598947904341</v>
      </c>
      <c r="F21">
        <v>1.384059894790434</v>
      </c>
      <c r="G21">
        <f>E21-F21</f>
        <v>-2.220446049250313e-16</v>
      </c>
    </row>
    <row r="22" spans="1:7">
      <c r="A22" s="1">
        <v>51501</v>
      </c>
      <c r="B22">
        <v>23</v>
      </c>
      <c r="C22">
        <v>4606.781245099653</v>
      </c>
      <c r="D22">
        <v>25</v>
      </c>
      <c r="E22">
        <f>SUMPRODUCT(('2_sol_BANK_Inputs'!$C$12:$C$61&gt;=B22)*('2_sol_BANK_Inputs'!$C$12:$C$61&lt;=D22)*'2_sol_BANK_Inputs'!$L$12:$L$61/((1+'2_sol_BANK_Inputs'!$B$2)^(('2_sol_BANK_Inputs'!$A$12:$A$61-A22)/365)))/C22</f>
        <v>1.4383192414129606</v>
      </c>
      <c r="F22">
        <v>1.438319241412961</v>
      </c>
      <c r="G22">
        <f>E22-F22</f>
        <v>0.0</v>
      </c>
    </row>
    <row r="23" spans="1:7">
      <c r="A23" s="1">
        <v>51682</v>
      </c>
      <c r="B23">
        <v>24</v>
      </c>
      <c r="C23">
        <v>2876.537222269904</v>
      </c>
      <c r="D23">
        <v>25</v>
      </c>
      <c r="E23">
        <f>SUMPRODUCT(('2_sol_BANK_Inputs'!$C$12:$C$61&gt;=B23)*('2_sol_BANK_Inputs'!$C$12:$C$61&lt;=D23)*'2_sol_BANK_Inputs'!$L$12:$L$61/((1+'2_sol_BANK_Inputs'!$B$2)^(('2_sol_BANK_Inputs'!$A$12:$A$61-A23)/365)))/C23</f>
        <v>1.5905027507114389</v>
      </c>
      <c r="F23">
        <v>1.590502750711439</v>
      </c>
      <c r="G23">
        <f>E23-F23</f>
        <v>-2.220446049250313e-16</v>
      </c>
    </row>
    <row r="24" spans="1:7">
      <c r="A24" s="1">
        <v>51866</v>
      </c>
      <c r="B24">
        <v>25</v>
      </c>
      <c r="C24">
        <v>1274.955447517944</v>
      </c>
      <c r="D24">
        <v>25</v>
      </c>
      <c r="E24">
        <f>SUMPRODUCT(('2_sol_BANK_Inputs'!$C$12:$C$61&gt;=B24)*('2_sol_BANK_Inputs'!$C$12:$C$61&lt;=D24)*'2_sol_BANK_Inputs'!$L$12:$L$61/((1+'2_sol_BANK_Inputs'!$B$2)^(('2_sol_BANK_Inputs'!$A$12:$A$61-A24)/365)))/C24</f>
        <v>2.1031115491716807</v>
      </c>
      <c r="F24">
        <v>2.103111549171681</v>
      </c>
      <c r="G24">
        <f>E24-F24</f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5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6" width="21.7109375" customWidth="1"/>
  </cols>
  <sheetData>
    <row r="1" spans="1:16">
      <c r="A1" t="s">
        <v>12</v>
      </c>
      <c r="B1" t="s">
        <v>68</v>
      </c>
      <c r="C1" t="s">
        <v>69</v>
      </c>
    </row>
    <row r="2" spans="1:16">
      <c r="A2" t="s">
        <v>15</v>
      </c>
      <c r="B2">
        <v>0.055</v>
      </c>
    </row>
    <row r="3" spans="1:16">
      <c r="A3" t="s">
        <v>16</v>
      </c>
      <c r="B3" s="1">
        <v>48092</v>
      </c>
    </row>
    <row r="4" spans="1:16">
      <c r="A4" t="s">
        <v>17</v>
      </c>
      <c r="B4" s="1">
        <v>53508</v>
      </c>
    </row>
    <row r="5" spans="1:16">
      <c r="A5" t="s">
        <v>18</v>
      </c>
      <c r="B5" s="1">
        <v>51682</v>
      </c>
    </row>
    <row r="6" spans="1:16">
      <c r="A6" t="s">
        <v>19</v>
      </c>
      <c r="B6" s="1">
        <v>57891</v>
      </c>
    </row>
    <row r="8" spans="1:16">
      <c r="A8" t="s">
        <v>20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</row>
    <row r="12" spans="1:16">
      <c r="A12" s="1">
        <v>48213</v>
      </c>
      <c r="B12" s="1">
        <v>48092</v>
      </c>
      <c r="C12">
        <v>4</v>
      </c>
      <c r="D12">
        <v>2139.730107624294</v>
      </c>
      <c r="E12">
        <v>1956.254014207721</v>
      </c>
      <c r="F12">
        <v>2269.196256438356</v>
      </c>
      <c r="G12">
        <v>0</v>
      </c>
      <c r="H12">
        <v>129.4661488140624</v>
      </c>
      <c r="I12">
        <f>F12+G12-H12</f>
        <v>2139.730107624294</v>
      </c>
      <c r="J12">
        <f>I12-D12</f>
        <v>0.0</v>
      </c>
      <c r="K12">
        <v>36505.15795948399</v>
      </c>
      <c r="L12">
        <f>I12</f>
        <v>2139.730107624294</v>
      </c>
      <c r="M12">
        <f>(1+$B$2)^((A12-$B$3)/365)</f>
        <v>1.017907582851968</v>
      </c>
      <c r="N12">
        <f>IF(A12&lt;=$B$4,L12/M12,0)</f>
        <v>2102.0868138433643</v>
      </c>
      <c r="O12">
        <f>IF(A12&lt;=$B$5,L12/M12,0)</f>
        <v>2102.0868138433643</v>
      </c>
      <c r="P12">
        <f>IF(A12&lt;=$B$6,L12/M12,0)</f>
        <v>2102.0868138433643</v>
      </c>
    </row>
    <row r="13" spans="1:16">
      <c r="A13" s="1">
        <v>48395</v>
      </c>
      <c r="B13" s="1">
        <v>48213</v>
      </c>
      <c r="C13">
        <v>5</v>
      </c>
      <c r="D13">
        <v>3375.945250273223</v>
      </c>
      <c r="E13">
        <v>3011.000998469945</v>
      </c>
      <c r="F13">
        <v>3375.945250273223</v>
      </c>
      <c r="G13">
        <v>0</v>
      </c>
      <c r="H13">
        <v>0</v>
      </c>
      <c r="I13">
        <f>F13+G13-H13</f>
        <v>3375.9452502732233</v>
      </c>
      <c r="J13">
        <f>I13-D13</f>
        <v>0.0</v>
      </c>
      <c r="K13">
        <v>35549.78468714524</v>
      </c>
      <c r="L13">
        <f>I13</f>
        <v>3375.9452502732233</v>
      </c>
      <c r="M13">
        <f>(1+$B$2)^((A13-$B$3)/365)</f>
        <v>1.0454486996351844</v>
      </c>
      <c r="N13">
        <f>IF(A13&lt;=$B$4,L13/M13,0)</f>
        <v>3229.1830784726976</v>
      </c>
      <c r="O13">
        <f>IF(A13&lt;=$B$5,L13/M13,0)</f>
        <v>3229.1830784726976</v>
      </c>
      <c r="P13">
        <f>IF(A13&lt;=$B$6,L13/M13,0)</f>
        <v>3229.1830784726976</v>
      </c>
    </row>
    <row r="14" spans="1:16">
      <c r="A14" s="1">
        <v>48579</v>
      </c>
      <c r="B14" s="1">
        <v>48395</v>
      </c>
      <c r="C14">
        <v>6</v>
      </c>
      <c r="D14">
        <v>3069.9151116793</v>
      </c>
      <c r="E14">
        <v>2878.062423806495</v>
      </c>
      <c r="F14">
        <v>3492.656870819672</v>
      </c>
      <c r="G14">
        <v>0</v>
      </c>
      <c r="H14">
        <v>422.7417591403728</v>
      </c>
      <c r="I14">
        <f>F14+G14-H14</f>
        <v>3069.9151116792996</v>
      </c>
      <c r="J14">
        <f>I14-D14</f>
        <v>0.0</v>
      </c>
      <c r="K14">
        <v>34029.09870152675</v>
      </c>
      <c r="L14">
        <f>I14</f>
        <v>3069.9151116792996</v>
      </c>
      <c r="M14">
        <f>(1+$B$2)^((A14-$B$3)/365)</f>
        <v>1.0740500375671378</v>
      </c>
      <c r="N14">
        <f>IF(A14&lt;=$B$4,L14/M14,0)</f>
        <v>2858.260792609862</v>
      </c>
      <c r="O14">
        <f>IF(A14&lt;=$B$5,L14/M14,0)</f>
        <v>2858.260792609862</v>
      </c>
      <c r="P14">
        <f>IF(A14&lt;=$B$6,L14/M14,0)</f>
        <v>2858.260792609862</v>
      </c>
    </row>
    <row r="15" spans="1:16">
      <c r="A15" s="1">
        <v>48760</v>
      </c>
      <c r="B15" s="1">
        <v>48579</v>
      </c>
      <c r="C15">
        <v>7</v>
      </c>
      <c r="D15">
        <v>3445.124286246575</v>
      </c>
      <c r="E15">
        <v>3072.792405567124</v>
      </c>
      <c r="F15">
        <v>3445.124286246575</v>
      </c>
      <c r="G15">
        <v>0</v>
      </c>
      <c r="H15">
        <v>0</v>
      </c>
      <c r="I15">
        <f>F15+G15-H15</f>
        <v>3445.1242862465747</v>
      </c>
      <c r="J15">
        <f>I15-D15</f>
        <v>0.0</v>
      </c>
      <c r="K15">
        <v>32587.30912296425</v>
      </c>
      <c r="L15">
        <f>I15</f>
        <v>3445.1242862465747</v>
      </c>
      <c r="M15">
        <f>(1+$B$2)^((A15-$B$3)/365)</f>
        <v>1.1029483781151195</v>
      </c>
      <c r="N15">
        <f>IF(A15&lt;=$B$4,L15/M15,0)</f>
        <v>3123.5589576133293</v>
      </c>
      <c r="O15">
        <f>IF(A15&lt;=$B$5,L15/M15,0)</f>
        <v>3123.5589576133293</v>
      </c>
      <c r="P15">
        <f>IF(A15&lt;=$B$6,L15/M15,0)</f>
        <v>3123.5589576133293</v>
      </c>
    </row>
    <row r="16" spans="1:16">
      <c r="A16" s="1">
        <v>48944</v>
      </c>
      <c r="B16" s="1">
        <v>48760</v>
      </c>
      <c r="C16">
        <v>8</v>
      </c>
      <c r="D16">
        <v>3077.230525039318</v>
      </c>
      <c r="E16">
        <v>2879.916668445783</v>
      </c>
      <c r="F16">
        <v>3583.653862329863</v>
      </c>
      <c r="G16">
        <v>0</v>
      </c>
      <c r="H16">
        <v>506.4233372905449</v>
      </c>
      <c r="I16">
        <f>F16+G16-H16</f>
        <v>3077.2305250393183</v>
      </c>
      <c r="J16">
        <f>I16-D16</f>
        <v>0.0</v>
      </c>
      <c r="K16">
        <v>30927.77840254473</v>
      </c>
      <c r="L16">
        <f>I16</f>
        <v>3077.2305250393183</v>
      </c>
      <c r="M16">
        <f>(1+$B$2)^((A16-$B$3)/365)</f>
        <v>1.1331227896333305</v>
      </c>
      <c r="N16">
        <f>IF(A16&lt;=$B$4,L16/M16,0)</f>
        <v>2715.7079119687337</v>
      </c>
      <c r="O16">
        <f>IF(A16&lt;=$B$5,L16/M16,0)</f>
        <v>2715.7079119687337</v>
      </c>
      <c r="P16">
        <f>IF(A16&lt;=$B$6,L16/M16,0)</f>
        <v>2715.7079119687337</v>
      </c>
    </row>
    <row r="17" spans="1:16">
      <c r="A17" s="1">
        <v>49125</v>
      </c>
      <c r="B17" s="1">
        <v>48944</v>
      </c>
      <c r="C17">
        <v>9</v>
      </c>
      <c r="D17">
        <v>3525.224723270136</v>
      </c>
      <c r="E17">
        <v>3144.326409847233</v>
      </c>
      <c r="F17">
        <v>3525.224723270136</v>
      </c>
      <c r="G17">
        <v>0</v>
      </c>
      <c r="H17">
        <v>0</v>
      </c>
      <c r="I17">
        <f>F17+G17-H17</f>
        <v>3525.224723270136</v>
      </c>
      <c r="J17">
        <f>I17-D17</f>
        <v>0.0</v>
      </c>
      <c r="K17">
        <v>29397.26206060033</v>
      </c>
      <c r="L17">
        <f>I17</f>
        <v>3525.224723270136</v>
      </c>
      <c r="M17">
        <f>(1+$B$2)^((A17-$B$3)/365)</f>
        <v>1.163610538911451</v>
      </c>
      <c r="N17">
        <f>IF(A17&lt;=$B$4,L17/M17,0)</f>
        <v>3029.5572318964705</v>
      </c>
      <c r="O17">
        <f>IF(A17&lt;=$B$5,L17/M17,0)</f>
        <v>3029.5572318964705</v>
      </c>
      <c r="P17">
        <f>IF(A17&lt;=$B$6,L17/M17,0)</f>
        <v>3029.5572318964705</v>
      </c>
    </row>
    <row r="18" spans="1:16">
      <c r="A18" s="1">
        <v>49309</v>
      </c>
      <c r="B18" s="1">
        <v>49125</v>
      </c>
      <c r="C18">
        <v>10</v>
      </c>
      <c r="D18">
        <v>3073.975451985274</v>
      </c>
      <c r="E18">
        <v>2872.141500589731</v>
      </c>
      <c r="F18">
        <v>3666.710492277831</v>
      </c>
      <c r="G18">
        <v>0</v>
      </c>
      <c r="H18">
        <v>592.7350402925576</v>
      </c>
      <c r="I18">
        <f>F18+G18-H18</f>
        <v>3073.9754519852736</v>
      </c>
      <c r="J18">
        <f>I18-D18</f>
        <v>0.0</v>
      </c>
      <c r="K18">
        <v>27589.90600743119</v>
      </c>
      <c r="L18">
        <f>I18</f>
        <v>3073.9754519852736</v>
      </c>
      <c r="M18">
        <f>(1+$B$2)^((A18-$B$3)/365)</f>
        <v>1.1954445430631635</v>
      </c>
      <c r="N18">
        <f>IF(A18&lt;=$B$4,L18/M18,0)</f>
        <v>2571.407824664648</v>
      </c>
      <c r="O18">
        <f>IF(A18&lt;=$B$5,L18/M18,0)</f>
        <v>2571.407824664648</v>
      </c>
      <c r="P18">
        <f>IF(A18&lt;=$B$6,L18/M18,0)</f>
        <v>2571.407824664648</v>
      </c>
    </row>
    <row r="19" spans="1:16">
      <c r="A19" s="1">
        <v>49490</v>
      </c>
      <c r="B19" s="1">
        <v>49309</v>
      </c>
      <c r="C19">
        <v>11</v>
      </c>
      <c r="D19">
        <v>3606.92716903417</v>
      </c>
      <c r="E19">
        <v>3217.291094212945</v>
      </c>
      <c r="F19">
        <v>3606.92716903417</v>
      </c>
      <c r="G19">
        <v>0</v>
      </c>
      <c r="H19">
        <v>0</v>
      </c>
      <c r="I19">
        <f>F19+G19-H19</f>
        <v>3606.9271690341698</v>
      </c>
      <c r="J19">
        <f>I19-D19</f>
        <v>0.0</v>
      </c>
      <c r="K19">
        <v>25972.03767025975</v>
      </c>
      <c r="L19">
        <f>I19</f>
        <v>3606.9271690341698</v>
      </c>
      <c r="M19">
        <f>(1+$B$2)^((A19-$B$3)/365)</f>
        <v>1.2276091185515807</v>
      </c>
      <c r="N19">
        <f>IF(A19&lt;=$B$4,L19/M19,0)</f>
        <v>2938.1723502427835</v>
      </c>
      <c r="O19">
        <f>IF(A19&lt;=$B$5,L19/M19,0)</f>
        <v>2938.1723502427835</v>
      </c>
      <c r="P19">
        <f>IF(A19&lt;=$B$6,L19/M19,0)</f>
        <v>2938.1723502427835</v>
      </c>
    </row>
    <row r="20" spans="1:16">
      <c r="A20" s="1">
        <v>49674</v>
      </c>
      <c r="B20" s="1">
        <v>49490</v>
      </c>
      <c r="C20">
        <v>12</v>
      </c>
      <c r="D20">
        <v>3068.240401218467</v>
      </c>
      <c r="E20">
        <v>2861.794449077116</v>
      </c>
      <c r="F20">
        <v>3751.428254824757</v>
      </c>
      <c r="G20">
        <v>0</v>
      </c>
      <c r="H20">
        <v>683.1878536062908</v>
      </c>
      <c r="I20">
        <f>F20+G20-H20</f>
        <v>3068.2404012184666</v>
      </c>
      <c r="J20">
        <f>I20-D20</f>
        <v>0.0</v>
      </c>
      <c r="K20">
        <v>24009.1607445474</v>
      </c>
      <c r="L20">
        <f>I20</f>
        <v>3068.2404012184666</v>
      </c>
      <c r="M20">
        <f>(1+$B$2)^((A20-$B$3)/365)</f>
        <v>1.2611939929316374</v>
      </c>
      <c r="N20">
        <f>IF(A20&lt;=$B$4,L20/M20,0)</f>
        <v>2432.8060698151294</v>
      </c>
      <c r="O20">
        <f>IF(A20&lt;=$B$5,L20/M20,0)</f>
        <v>2432.8060698151294</v>
      </c>
      <c r="P20">
        <f>IF(A20&lt;=$B$6,L20/M20,0)</f>
        <v>2432.8060698151294</v>
      </c>
    </row>
    <row r="21" spans="1:16">
      <c r="A21" s="1">
        <v>49856</v>
      </c>
      <c r="B21" s="1">
        <v>49674</v>
      </c>
      <c r="C21">
        <v>13</v>
      </c>
      <c r="D21">
        <v>3700.513467688414</v>
      </c>
      <c r="E21">
        <v>3300.857897090065</v>
      </c>
      <c r="F21">
        <v>3700.513467688414</v>
      </c>
      <c r="G21">
        <v>0</v>
      </c>
      <c r="H21">
        <v>0</v>
      </c>
      <c r="I21">
        <f>F21+G21-H21</f>
        <v>3700.5134676884136</v>
      </c>
      <c r="J21">
        <f>I21-D21</f>
        <v>0.0</v>
      </c>
      <c r="K21">
        <v>22299.25622235764</v>
      </c>
      <c r="L21">
        <f>I21</f>
        <v>3700.5134676884136</v>
      </c>
      <c r="M21">
        <f>(1+$B$2)^((A21-$B$3)/365)</f>
        <v>1.2953176124338146</v>
      </c>
      <c r="N21">
        <f>IF(A21&lt;=$B$4,L21/M21,0)</f>
        <v>2856.8386874130415</v>
      </c>
      <c r="O21">
        <f>IF(A21&lt;=$B$5,L21/M21,0)</f>
        <v>2856.8386874130415</v>
      </c>
      <c r="P21">
        <f>IF(A21&lt;=$B$6,L21/M21,0)</f>
        <v>2856.8386874130415</v>
      </c>
    </row>
    <row r="22" spans="1:16">
      <c r="A22" s="1">
        <v>50040</v>
      </c>
      <c r="B22" s="1">
        <v>49856</v>
      </c>
      <c r="C22">
        <v>14</v>
      </c>
      <c r="D22">
        <v>2949.1397532808</v>
      </c>
      <c r="E22">
        <v>2739.120019136285</v>
      </c>
      <c r="F22">
        <v>3827.354469965183</v>
      </c>
      <c r="G22">
        <v>0</v>
      </c>
      <c r="H22">
        <v>878.2147166843836</v>
      </c>
      <c r="I22">
        <f>F22+G22-H22</f>
        <v>2949.1397532807996</v>
      </c>
      <c r="J22">
        <f>I22-D22</f>
        <v>0.0</v>
      </c>
      <c r="K22">
        <v>20168.58451585425</v>
      </c>
      <c r="L22">
        <f>I22</f>
        <v>2949.1397532807996</v>
      </c>
      <c r="M22">
        <f>(1+$B$2)^((A22-$B$3)/365)</f>
        <v>1.330754852707162</v>
      </c>
      <c r="N22">
        <f>IF(A22&lt;=$B$4,L22/M22,0)</f>
        <v>2216.1405215102905</v>
      </c>
      <c r="O22">
        <f>IF(A22&lt;=$B$5,L22/M22,0)</f>
        <v>2216.1405215102905</v>
      </c>
      <c r="P22">
        <f>IF(A22&lt;=$B$6,L22/M22,0)</f>
        <v>2216.1405215102905</v>
      </c>
    </row>
    <row r="23" spans="1:16">
      <c r="A23" s="1">
        <v>50221</v>
      </c>
      <c r="B23" s="1">
        <v>50040</v>
      </c>
      <c r="C23">
        <v>15</v>
      </c>
      <c r="D23">
        <v>3775.266888286383</v>
      </c>
      <c r="E23">
        <v>3367.627529880057</v>
      </c>
      <c r="F23">
        <v>3775.266888286383</v>
      </c>
      <c r="G23">
        <v>0</v>
      </c>
      <c r="H23">
        <v>0</v>
      </c>
      <c r="I23">
        <f>F23+G23-H23</f>
        <v>3775.266888286383</v>
      </c>
      <c r="J23">
        <f>I23-D23</f>
        <v>0.0</v>
      </c>
      <c r="K23">
        <v>18452.94582018643</v>
      </c>
      <c r="L23">
        <f>I23</f>
        <v>3775.266888286383</v>
      </c>
      <c r="M23">
        <f>(1+$B$2)^((A23-$B$3)/365)</f>
        <v>1.3665600811176744</v>
      </c>
      <c r="N23">
        <f>IF(A23&lt;=$B$4,L23/M23,0)</f>
        <v>2762.605860108755</v>
      </c>
      <c r="O23">
        <f>IF(A23&lt;=$B$5,L23/M23,0)</f>
        <v>2762.605860108755</v>
      </c>
      <c r="P23">
        <f>IF(A23&lt;=$B$6,L23/M23,0)</f>
        <v>2762.605860108755</v>
      </c>
    </row>
    <row r="24" spans="1:16">
      <c r="A24" s="1">
        <v>50405</v>
      </c>
      <c r="B24" s="1">
        <v>50221</v>
      </c>
      <c r="C24">
        <v>16</v>
      </c>
      <c r="D24">
        <v>2849.878264110367</v>
      </c>
      <c r="E24">
        <v>2633.934348620119</v>
      </c>
      <c r="F24">
        <v>3925.980732776445</v>
      </c>
      <c r="G24">
        <v>0</v>
      </c>
      <c r="H24">
        <v>1076.102468666078</v>
      </c>
      <c r="I24">
        <f>F24+G24-H24</f>
        <v>2849.8782641103667</v>
      </c>
      <c r="J24">
        <f>I24-D24</f>
        <v>0.0</v>
      </c>
      <c r="K24">
        <v>16156.86475539737</v>
      </c>
      <c r="L24">
        <f>I24</f>
        <v>2849.8782641103667</v>
      </c>
      <c r="M24">
        <f>(1+$B$2)^((A24-$B$3)/365)</f>
        <v>1.4039463696060557</v>
      </c>
      <c r="N24">
        <f>IF(A24&lt;=$B$4,L24/M24,0)</f>
        <v>2029.9053623465948</v>
      </c>
      <c r="O24">
        <f>IF(A24&lt;=$B$5,L24/M24,0)</f>
        <v>2029.9053623465948</v>
      </c>
      <c r="P24">
        <f>IF(A24&lt;=$B$6,L24/M24,0)</f>
        <v>2029.9053623465948</v>
      </c>
    </row>
    <row r="25" spans="1:16">
      <c r="A25" s="1">
        <v>50586</v>
      </c>
      <c r="B25" s="1">
        <v>50405</v>
      </c>
      <c r="C25">
        <v>17</v>
      </c>
      <c r="D25">
        <v>3861.970177350741</v>
      </c>
      <c r="E25">
        <v>3445.058236646426</v>
      </c>
      <c r="F25">
        <v>3861.970177350741</v>
      </c>
      <c r="G25">
        <v>0</v>
      </c>
      <c r="H25">
        <v>0</v>
      </c>
      <c r="I25">
        <f>F25+G25-H25</f>
        <v>3861.9701773507413</v>
      </c>
      <c r="J25">
        <f>I25-D25</f>
        <v>0.0</v>
      </c>
      <c r="K25">
        <v>14416.10688523183</v>
      </c>
      <c r="L25">
        <f>I25</f>
        <v>3861.9701773507413</v>
      </c>
      <c r="M25">
        <f>(1+$B$2)^((A25-$B$3)/365)</f>
        <v>1.4417208855791463</v>
      </c>
      <c r="N25">
        <f>IF(A25&lt;=$B$4,L25/M25,0)</f>
        <v>2678.7225016854554</v>
      </c>
      <c r="O25">
        <f>IF(A25&lt;=$B$5,L25/M25,0)</f>
        <v>2678.7225016854554</v>
      </c>
      <c r="P25">
        <f>IF(A25&lt;=$B$6,L25/M25,0)</f>
        <v>2678.7225016854554</v>
      </c>
    </row>
    <row r="26" spans="1:16">
      <c r="A26" s="1">
        <v>50770</v>
      </c>
      <c r="B26" s="1">
        <v>50586</v>
      </c>
      <c r="C26">
        <v>18</v>
      </c>
      <c r="D26">
        <v>2838.101260762118</v>
      </c>
      <c r="E26">
        <v>2617.264649291928</v>
      </c>
      <c r="F26">
        <v>4015.883900133344</v>
      </c>
      <c r="G26">
        <v>0</v>
      </c>
      <c r="H26">
        <v>1177.782639371226</v>
      </c>
      <c r="I26">
        <f>F26+G26-H26</f>
        <v>2838.101260762118</v>
      </c>
      <c r="J26">
        <f>I26-D26</f>
        <v>0.0</v>
      </c>
      <c r="K26">
        <v>11943.87042147782</v>
      </c>
      <c r="L26">
        <f>I26</f>
        <v>2838.101260762118</v>
      </c>
      <c r="M26">
        <f>(1+$B$2)^((A26-$B$3)/365)</f>
        <v>1.4811634199343888</v>
      </c>
      <c r="N26">
        <f>IF(A26&lt;=$B$4,L26/M26,0)</f>
        <v>1916.12972786476</v>
      </c>
      <c r="O26">
        <f>IF(A26&lt;=$B$5,L26/M26,0)</f>
        <v>1916.12972786476</v>
      </c>
      <c r="P26">
        <f>IF(A26&lt;=$B$6,L26/M26,0)</f>
        <v>1916.12972786476</v>
      </c>
    </row>
    <row r="27" spans="1:16">
      <c r="A27" s="1">
        <v>50951</v>
      </c>
      <c r="B27" s="1">
        <v>50770</v>
      </c>
      <c r="C27">
        <v>19</v>
      </c>
      <c r="D27">
        <v>3950.407532196386</v>
      </c>
      <c r="E27">
        <v>3524.037557548122</v>
      </c>
      <c r="F27">
        <v>3950.407532196386</v>
      </c>
      <c r="G27">
        <v>0</v>
      </c>
      <c r="H27">
        <v>0</v>
      </c>
      <c r="I27">
        <f>F27+G27-H27</f>
        <v>3950.4075321963855</v>
      </c>
      <c r="J27">
        <f>I27-D27</f>
        <v>0.0</v>
      </c>
      <c r="K27">
        <v>10098.57201562143</v>
      </c>
      <c r="L27">
        <f>I27</f>
        <v>3950.4075321963855</v>
      </c>
      <c r="M27">
        <f>(1+$B$2)^((A27-$B$3)/365)</f>
        <v>1.5210155342859992</v>
      </c>
      <c r="N27">
        <f>IF(A27&lt;=$B$4,L27/M27,0)</f>
        <v>2597.2170849989384</v>
      </c>
      <c r="O27">
        <f>IF(A27&lt;=$B$5,L27/M27,0)</f>
        <v>2597.2170849989384</v>
      </c>
      <c r="P27">
        <f>IF(A27&lt;=$B$6,L27/M27,0)</f>
        <v>2597.2170849989384</v>
      </c>
    </row>
    <row r="28" spans="1:16">
      <c r="A28" s="1">
        <v>51135</v>
      </c>
      <c r="B28" s="1">
        <v>50951</v>
      </c>
      <c r="C28">
        <v>20</v>
      </c>
      <c r="D28">
        <v>2823.27258512023</v>
      </c>
      <c r="E28">
        <v>2597.443778303343</v>
      </c>
      <c r="F28">
        <v>4107.585130837381</v>
      </c>
      <c r="G28">
        <v>0</v>
      </c>
      <c r="H28">
        <v>1284.312545717151</v>
      </c>
      <c r="I28">
        <f>F28+G28-H28</f>
        <v>2823.2725851202304</v>
      </c>
      <c r="J28">
        <f>I28-D28</f>
        <v>0.0</v>
      </c>
      <c r="K28">
        <v>7441.127618818859</v>
      </c>
      <c r="L28">
        <f>I28</f>
        <v>2823.2725851202304</v>
      </c>
      <c r="M28">
        <f>(1+$B$2)^((A28-$B$3)/365)</f>
        <v>1.56262740803078</v>
      </c>
      <c r="N28">
        <f>IF(A28&lt;=$B$4,L28/M28,0)</f>
        <v>1806.747130256798</v>
      </c>
      <c r="O28">
        <f>IF(A28&lt;=$B$5,L28/M28,0)</f>
        <v>1806.747130256798</v>
      </c>
      <c r="P28">
        <f>IF(A28&lt;=$B$6,L28/M28,0)</f>
        <v>1806.747130256798</v>
      </c>
    </row>
    <row r="29" spans="1:16">
      <c r="A29" s="1">
        <v>51317</v>
      </c>
      <c r="B29" s="1">
        <v>51135</v>
      </c>
      <c r="C29">
        <v>21</v>
      </c>
      <c r="D29">
        <v>4051.836544332489</v>
      </c>
      <c r="E29">
        <v>3614.608325954342</v>
      </c>
      <c r="F29">
        <v>4051.836544332489</v>
      </c>
      <c r="G29">
        <v>0</v>
      </c>
      <c r="H29">
        <v>0</v>
      </c>
      <c r="I29">
        <f>F29+G29-H29</f>
        <v>4051.8365443324888</v>
      </c>
      <c r="J29">
        <f>I29-D29</f>
        <v>0.0</v>
      </c>
      <c r="K29">
        <v>5485.769502354178</v>
      </c>
      <c r="L29">
        <f>I29</f>
        <v>4051.8365443324888</v>
      </c>
      <c r="M29">
        <f>(1+$B$2)^((A29-$B$3)/365)</f>
        <v>1.6049067904209289</v>
      </c>
      <c r="N29">
        <f>IF(A29&lt;=$B$4,L29/M29,0)</f>
        <v>2524.655368471454</v>
      </c>
      <c r="O29">
        <f>IF(A29&lt;=$B$5,L29/M29,0)</f>
        <v>2524.655368471454</v>
      </c>
      <c r="P29">
        <f>IF(A29&lt;=$B$6,L29/M29,0)</f>
        <v>2524.655368471454</v>
      </c>
    </row>
    <row r="30" spans="1:16">
      <c r="A30" s="1">
        <v>51501</v>
      </c>
      <c r="B30" s="1">
        <v>51317</v>
      </c>
      <c r="C30">
        <v>22</v>
      </c>
      <c r="D30">
        <v>2793.90380169658</v>
      </c>
      <c r="E30">
        <v>2564.21947241536</v>
      </c>
      <c r="F30">
        <v>4189.641915155073</v>
      </c>
      <c r="G30">
        <v>0</v>
      </c>
      <c r="H30">
        <v>1395.738113458493</v>
      </c>
      <c r="I30">
        <f>F30+G30-H30</f>
        <v>2793.90380169658</v>
      </c>
      <c r="J30">
        <f>I30-D30</f>
        <v>0.0</v>
      </c>
      <c r="K30">
        <v>2626.130766054908</v>
      </c>
      <c r="L30">
        <f>I30</f>
        <v>2793.90380169658</v>
      </c>
      <c r="M30">
        <f>(1+$B$2)^((A30-$B$3)/365)</f>
        <v>1.648813757332011</v>
      </c>
      <c r="N30">
        <f>IF(A30&lt;=$B$4,L30/M30,0)</f>
        <v>1694.493261760182</v>
      </c>
      <c r="O30">
        <f>IF(A30&lt;=$B$5,L30/M30,0)</f>
        <v>1694.493261760182</v>
      </c>
      <c r="P30">
        <f>IF(A30&lt;=$B$6,L30/M30,0)</f>
        <v>1694.493261760182</v>
      </c>
    </row>
    <row r="31" spans="1:16">
      <c r="A31" s="1">
        <v>51682</v>
      </c>
      <c r="B31" s="1">
        <v>51501</v>
      </c>
      <c r="C31">
        <v>23</v>
      </c>
      <c r="D31">
        <v>4132.623858120352</v>
      </c>
      <c r="E31">
        <v>3686.766550333975</v>
      </c>
      <c r="F31">
        <v>4132.623858120352</v>
      </c>
      <c r="G31">
        <v>0</v>
      </c>
      <c r="H31">
        <v>0</v>
      </c>
      <c r="I31">
        <f>F31+G31-H31</f>
        <v>4132.623858120352</v>
      </c>
      <c r="J31">
        <f>I31-D31</f>
        <v>0.0</v>
      </c>
      <c r="K31">
        <v>563.1046600247992</v>
      </c>
      <c r="L31">
        <f>I31</f>
        <v>4132.623858120352</v>
      </c>
      <c r="M31">
        <f>(1+$B$2)^((A31-$B$3)/365)</f>
        <v>1.69317666389408</v>
      </c>
      <c r="N31">
        <f>IF(A31&lt;=$B$4,L31/M31,0)</f>
        <v>2440.751722041733</v>
      </c>
      <c r="O31">
        <f>IF(A31&lt;=$B$5,L31/M31,0)</f>
        <v>2440.751722041733</v>
      </c>
      <c r="P31">
        <f>IF(A31&lt;=$B$6,L31/M31,0)</f>
        <v>2440.751722041733</v>
      </c>
    </row>
    <row r="32" spans="1:16">
      <c r="A32" s="1">
        <v>51866</v>
      </c>
      <c r="B32" s="1">
        <v>51682</v>
      </c>
      <c r="C32">
        <v>24</v>
      </c>
      <c r="D32">
        <v>2801.348232008839</v>
      </c>
      <c r="E32">
        <v>2565.238541626094</v>
      </c>
      <c r="F32">
        <v>4296.526346579977</v>
      </c>
      <c r="G32">
        <v>0</v>
      </c>
      <c r="H32">
        <v>1495.178114571139</v>
      </c>
      <c r="I32">
        <f>F32+G32-H32</f>
        <v>2801.3482320088387</v>
      </c>
      <c r="J32">
        <f>I32-D32</f>
        <v>0.0</v>
      </c>
      <c r="K32">
        <v>0</v>
      </c>
      <c r="L32">
        <f>I32</f>
        <v>2801.3482320088387</v>
      </c>
      <c r="M32">
        <f>(1+$B$2)^((A32-$B$3)/365)</f>
        <v>1.7394985139852714</v>
      </c>
      <c r="N32">
        <f>IF(A32&lt;=$B$4,L32/M32,0)</f>
        <v>1610.4343921460563</v>
      </c>
      <c r="O32">
        <f>IF(A32&lt;=$B$5,L32/M32,0)</f>
        <v>0</v>
      </c>
      <c r="P32">
        <f>IF(A32&lt;=$B$6,L32/M32,0)</f>
        <v>1610.4343921460563</v>
      </c>
    </row>
    <row r="33" spans="1:16">
      <c r="A33" s="1">
        <v>52047</v>
      </c>
      <c r="B33" s="1">
        <v>51866</v>
      </c>
      <c r="C33">
        <v>25</v>
      </c>
      <c r="D33">
        <v>4226.47428658139</v>
      </c>
      <c r="E33">
        <v>3770.580037509422</v>
      </c>
      <c r="F33">
        <v>4226.47428658139</v>
      </c>
      <c r="G33">
        <v>0</v>
      </c>
      <c r="H33">
        <v>0</v>
      </c>
      <c r="I33">
        <f>F33+G33-H33</f>
        <v>4226.47428658139</v>
      </c>
      <c r="J33">
        <f>I33-D33</f>
        <v>0.0</v>
      </c>
      <c r="K33">
        <v>0</v>
      </c>
      <c r="L33">
        <f>I33</f>
        <v>4226.47428658139</v>
      </c>
      <c r="M33">
        <f>(1+$B$2)^((A33-$B$3)/365)</f>
        <v>1.7863013804082541</v>
      </c>
      <c r="N33">
        <f>IF(A33&lt;=$B$4,L33/M33,0)</f>
        <v>2366.047707814815</v>
      </c>
      <c r="O33">
        <f>IF(A33&lt;=$B$5,L33/M33,0)</f>
        <v>0</v>
      </c>
      <c r="P33">
        <f>IF(A33&lt;=$B$6,L33/M33,0)</f>
        <v>2366.047707814815</v>
      </c>
    </row>
    <row r="34" spans="1:16">
      <c r="A34" s="1">
        <v>52231</v>
      </c>
      <c r="B34" s="1">
        <v>52047</v>
      </c>
      <c r="C34">
        <v>26</v>
      </c>
      <c r="D34">
        <v>2846.997247527363</v>
      </c>
      <c r="E34">
        <v>2605.591545666827</v>
      </c>
      <c r="F34">
        <v>4393.840426212947</v>
      </c>
      <c r="G34">
        <v>0</v>
      </c>
      <c r="H34">
        <v>1546.843178685583</v>
      </c>
      <c r="I34">
        <f>F34+G34-H34</f>
        <v>2846.9972475273635</v>
      </c>
      <c r="J34">
        <f>I34-D34</f>
        <v>0.0</v>
      </c>
      <c r="K34">
        <v>0</v>
      </c>
      <c r="L34">
        <f>I34</f>
        <v>2846.9972475273635</v>
      </c>
      <c r="M34">
        <f>(1+$B$2)^((A34-$B$3)/365)</f>
        <v>1.8351709322544614</v>
      </c>
      <c r="N34">
        <f>IF(A34&lt;=$B$4,L34/M34,0)</f>
        <v>1551.3526274252279</v>
      </c>
      <c r="O34">
        <f>IF(A34&lt;=$B$5,L34/M34,0)</f>
        <v>0</v>
      </c>
      <c r="P34">
        <f>IF(A34&lt;=$B$6,L34/M34,0)</f>
        <v>1551.3526274252279</v>
      </c>
    </row>
    <row r="35" spans="1:16">
      <c r="A35" s="1">
        <v>52412</v>
      </c>
      <c r="B35" s="1">
        <v>52231</v>
      </c>
      <c r="C35">
        <v>27</v>
      </c>
      <c r="D35">
        <v>4322.201723611647</v>
      </c>
      <c r="E35">
        <v>3856.069794428378</v>
      </c>
      <c r="F35">
        <v>4322.201723611647</v>
      </c>
      <c r="G35">
        <v>0</v>
      </c>
      <c r="H35">
        <v>0</v>
      </c>
      <c r="I35">
        <f>F35+G35-H35</f>
        <v>4322.201723611647</v>
      </c>
      <c r="J35">
        <f>I35-D35</f>
        <v>0.0</v>
      </c>
      <c r="K35">
        <v>0</v>
      </c>
      <c r="L35">
        <f>I35</f>
        <v>4322.201723611647</v>
      </c>
      <c r="M35">
        <f>(1+$B$2)^((A35-$B$3)/365)</f>
        <v>1.8845479563307082</v>
      </c>
      <c r="N35">
        <f>IF(A35&lt;=$B$4,L35/M35,0)</f>
        <v>2293.495216766545</v>
      </c>
      <c r="O35">
        <f>IF(A35&lt;=$B$5,L35/M35,0)</f>
        <v>0</v>
      </c>
      <c r="P35">
        <f>IF(A35&lt;=$B$6,L35/M35,0)</f>
        <v>2293.495216766545</v>
      </c>
    </row>
    <row r="36" spans="1:16">
      <c r="A36" s="1">
        <v>52596</v>
      </c>
      <c r="B36" s="1">
        <v>52412</v>
      </c>
      <c r="C36">
        <v>28</v>
      </c>
      <c r="D36">
        <v>2896.908827119971</v>
      </c>
      <c r="E36">
        <v>2650.160526383259</v>
      </c>
      <c r="F36">
        <v>4493.100787438575</v>
      </c>
      <c r="G36">
        <v>0</v>
      </c>
      <c r="H36">
        <v>1596.191960318604</v>
      </c>
      <c r="I36">
        <f>F36+G36-H36</f>
        <v>2896.9088271199707</v>
      </c>
      <c r="J36">
        <f>I36-D36</f>
        <v>0.0</v>
      </c>
      <c r="K36">
        <v>0</v>
      </c>
      <c r="L36">
        <f>I36</f>
        <v>2896.9088271199707</v>
      </c>
      <c r="M36">
        <f>(1+$B$2)^((A36-$B$3)/365)</f>
        <v>1.9361053335284566</v>
      </c>
      <c r="N36">
        <f>IF(A36&lt;=$B$4,L36/M36,0)</f>
        <v>1496.2557960834172</v>
      </c>
      <c r="O36">
        <f>IF(A36&lt;=$B$5,L36/M36,0)</f>
        <v>0</v>
      </c>
      <c r="P36">
        <f>IF(A36&lt;=$B$6,L36/M36,0)</f>
        <v>1496.2557960834172</v>
      </c>
    </row>
    <row r="37" spans="1:16">
      <c r="A37" s="1">
        <v>52778</v>
      </c>
      <c r="B37" s="1">
        <v>52596</v>
      </c>
      <c r="C37">
        <v>29</v>
      </c>
      <c r="D37">
        <v>4877.156049525137</v>
      </c>
      <c r="E37">
        <v>4354.754378005489</v>
      </c>
      <c r="F37">
        <v>4877.156049525137</v>
      </c>
      <c r="G37">
        <v>0</v>
      </c>
      <c r="H37">
        <v>0</v>
      </c>
      <c r="I37">
        <f>F37+G37-H37</f>
        <v>4877.156049525137</v>
      </c>
      <c r="J37">
        <f>I37-D37</f>
        <v>0.0</v>
      </c>
      <c r="K37">
        <v>0</v>
      </c>
      <c r="L37">
        <f>I37</f>
        <v>4877.156049525137</v>
      </c>
      <c r="M37">
        <f>(1+$B$2)^((A37-$B$3)/365)</f>
        <v>1.9884897581988348</v>
      </c>
      <c r="N37">
        <f>IF(A37&lt;=$B$4,L37/M37,0)</f>
        <v>2452.69357280615</v>
      </c>
      <c r="O37">
        <f>IF(A37&lt;=$B$5,L37/M37,0)</f>
        <v>0</v>
      </c>
      <c r="P37">
        <f>IF(A37&lt;=$B$6,L37/M37,0)</f>
        <v>2452.69357280615</v>
      </c>
    </row>
    <row r="38" spans="1:16">
      <c r="A38" s="1">
        <v>52962</v>
      </c>
      <c r="B38" s="1">
        <v>52778</v>
      </c>
      <c r="C38">
        <v>30</v>
      </c>
      <c r="D38">
        <v>3169.454068518808</v>
      </c>
      <c r="E38">
        <v>2895.192059159277</v>
      </c>
      <c r="F38">
        <v>5040.718644465821</v>
      </c>
      <c r="G38">
        <v>0</v>
      </c>
      <c r="H38">
        <v>1871.264575947013</v>
      </c>
      <c r="I38">
        <f>F38+G38-H38</f>
        <v>3169.454068518808</v>
      </c>
      <c r="J38">
        <f>I38-D38</f>
        <v>0.0</v>
      </c>
      <c r="K38">
        <v>0</v>
      </c>
      <c r="L38">
        <f>I38</f>
        <v>3169.454068518808</v>
      </c>
      <c r="M38">
        <f>(1+$B$2)^((A38-$B$3)/365)</f>
        <v>2.0428907704802786</v>
      </c>
      <c r="N38">
        <f>IF(A38&lt;=$B$4,L38/M38,0)</f>
        <v>1551.4554739378832</v>
      </c>
      <c r="O38">
        <f>IF(A38&lt;=$B$5,L38/M38,0)</f>
        <v>0</v>
      </c>
      <c r="P38">
        <f>IF(A38&lt;=$B$6,L38/M38,0)</f>
        <v>1551.4554739378832</v>
      </c>
    </row>
    <row r="39" spans="1:16">
      <c r="A39" s="1">
        <v>53143</v>
      </c>
      <c r="B39" s="1">
        <v>52962</v>
      </c>
      <c r="C39">
        <v>31</v>
      </c>
      <c r="D39">
        <v>4972.118036350248</v>
      </c>
      <c r="E39">
        <v>4439.624440917505</v>
      </c>
      <c r="F39">
        <v>4972.118036350248</v>
      </c>
      <c r="G39">
        <v>0</v>
      </c>
      <c r="H39">
        <v>0</v>
      </c>
      <c r="I39">
        <f>F39+G39-H39</f>
        <v>4972.118036350248</v>
      </c>
      <c r="J39">
        <f>I39-D39</f>
        <v>0.0</v>
      </c>
      <c r="K39">
        <v>0</v>
      </c>
      <c r="L39">
        <f>I39</f>
        <v>4972.118036350248</v>
      </c>
      <c r="M39">
        <f>(1+$B$2)^((A39-$B$3)/365)</f>
        <v>2.0978566948997703</v>
      </c>
      <c r="N39">
        <f>IF(A39&lt;=$B$4,L39/M39,0)</f>
        <v>2370.0942244712296</v>
      </c>
      <c r="O39">
        <f>IF(A39&lt;=$B$5,L39/M39,0)</f>
        <v>0</v>
      </c>
      <c r="P39">
        <f>IF(A39&lt;=$B$6,L39/M39,0)</f>
        <v>2370.0942244712296</v>
      </c>
    </row>
    <row r="40" spans="1:16">
      <c r="A40" s="1">
        <v>53327</v>
      </c>
      <c r="B40" s="1">
        <v>53143</v>
      </c>
      <c r="C40">
        <v>32</v>
      </c>
      <c r="D40">
        <v>3240.437613945457</v>
      </c>
      <c r="E40">
        <v>2958.614118857375</v>
      </c>
      <c r="F40">
        <v>5167.002961884878</v>
      </c>
      <c r="G40">
        <v>0</v>
      </c>
      <c r="H40">
        <v>1926.565347939421</v>
      </c>
      <c r="I40">
        <f>F40+G40-H40</f>
        <v>3240.437613945457</v>
      </c>
      <c r="J40">
        <f>I40-D40</f>
        <v>0.0</v>
      </c>
      <c r="K40">
        <v>0</v>
      </c>
      <c r="L40">
        <f>I40</f>
        <v>3240.437613945457</v>
      </c>
      <c r="M40">
        <f>(1+$B$2)^((A40-$B$3)/365)</f>
        <v>2.155249762856694</v>
      </c>
      <c r="N40">
        <f>IF(A40&lt;=$B$4,L40/M40,0)</f>
        <v>1503.509091981243</v>
      </c>
      <c r="O40">
        <f>IF(A40&lt;=$B$5,L40/M40,0)</f>
        <v>0</v>
      </c>
      <c r="P40">
        <f>IF(A40&lt;=$B$6,L40/M40,0)</f>
        <v>1503.509091981243</v>
      </c>
    </row>
    <row r="41" spans="1:16">
      <c r="A41" s="1">
        <v>53508</v>
      </c>
      <c r="B41" s="1">
        <v>53327</v>
      </c>
      <c r="C41">
        <v>33</v>
      </c>
      <c r="D41">
        <v>5082.758348375884</v>
      </c>
      <c r="E41">
        <v>4538.495085904623</v>
      </c>
      <c r="F41">
        <v>5082.758348375884</v>
      </c>
      <c r="G41">
        <v>0</v>
      </c>
      <c r="H41">
        <v>0</v>
      </c>
      <c r="I41">
        <f>F41+G41-H41</f>
        <v>5082.7583483758835</v>
      </c>
      <c r="J41">
        <f>I41-D41</f>
        <v>0.0</v>
      </c>
      <c r="K41">
        <v>0</v>
      </c>
      <c r="L41">
        <f>I41</f>
        <v>5082.7583483758835</v>
      </c>
      <c r="M41">
        <f>(1+$B$2)^((A41-$B$3)/365)</f>
        <v>2.2132388131192577</v>
      </c>
      <c r="N41">
        <f>IF(A41&lt;=$B$4,L41/M41,0)</f>
        <v>2296.5250375364735</v>
      </c>
      <c r="O41">
        <f>IF(A41&lt;=$B$5,L41/M41,0)</f>
        <v>0</v>
      </c>
      <c r="P41">
        <f>IF(A41&lt;=$B$6,L41/M41,0)</f>
        <v>2296.5250375364735</v>
      </c>
    </row>
    <row r="42" spans="1:16">
      <c r="A42" s="1">
        <v>53692</v>
      </c>
      <c r="B42" s="1">
        <v>53508</v>
      </c>
      <c r="C42">
        <v>34</v>
      </c>
      <c r="D42">
        <v>3298.662224662453</v>
      </c>
      <c r="E42">
        <v>3010.628442002471</v>
      </c>
      <c r="F42">
        <v>5281.726573823946</v>
      </c>
      <c r="G42">
        <v>0</v>
      </c>
      <c r="H42">
        <v>1983.064349161493</v>
      </c>
      <c r="I42">
        <f>F42+G42-H42</f>
        <v>3298.662224662453</v>
      </c>
      <c r="J42">
        <f>I42-D42</f>
        <v>0.0</v>
      </c>
      <c r="L42">
        <f>I42</f>
        <v>3298.662224662453</v>
      </c>
      <c r="M42">
        <f>(1+$B$2)^((A42-$B$3)/365)</f>
        <v>2.273788499813812</v>
      </c>
      <c r="N42">
        <f>IF(A42&lt;=$B$4,L42/M42,0)</f>
        <v>0</v>
      </c>
      <c r="O42">
        <f>IF(A42&lt;=$B$5,L42/M42,0)</f>
        <v>0</v>
      </c>
      <c r="P42">
        <f>IF(A42&lt;=$B$6,L42/M42,0)</f>
        <v>1450.7339732488585</v>
      </c>
    </row>
    <row r="43" spans="1:16">
      <c r="A43" s="1">
        <v>53873</v>
      </c>
      <c r="B43" s="1">
        <v>53692</v>
      </c>
      <c r="C43">
        <v>35</v>
      </c>
      <c r="D43">
        <v>5195.611466642032</v>
      </c>
      <c r="E43">
        <v>4639.343143791481</v>
      </c>
      <c r="F43">
        <v>5195.611466642032</v>
      </c>
      <c r="G43">
        <v>0</v>
      </c>
      <c r="H43">
        <v>0</v>
      </c>
      <c r="I43">
        <f>F43+G43-H43</f>
        <v>5195.611466642032</v>
      </c>
      <c r="J43">
        <f>I43-D43</f>
        <v>0.0</v>
      </c>
      <c r="L43">
        <f>I43</f>
        <v>5195.611466642032</v>
      </c>
      <c r="M43">
        <f>(1+$B$2)^((A43-$B$3)/365)</f>
        <v>2.334966947840817</v>
      </c>
      <c r="N43">
        <f>IF(A43&lt;=$B$4,L43/M43,0)</f>
        <v>0</v>
      </c>
      <c r="O43">
        <f>IF(A43&lt;=$B$5,L43/M43,0)</f>
        <v>0</v>
      </c>
      <c r="P43">
        <f>IF(A43&lt;=$B$6,L43/M43,0)</f>
        <v>2225.132767487994</v>
      </c>
    </row>
    <row r="44" spans="1:16">
      <c r="A44" s="1">
        <v>54057</v>
      </c>
      <c r="B44" s="1">
        <v>53873</v>
      </c>
      <c r="C44">
        <v>36</v>
      </c>
      <c r="D44">
        <v>3252.537503276367</v>
      </c>
      <c r="E44">
        <v>2958.167081829608</v>
      </c>
      <c r="F44">
        <v>5398.744658001794</v>
      </c>
      <c r="G44">
        <v>0</v>
      </c>
      <c r="H44">
        <v>2146.207154725427</v>
      </c>
      <c r="I44">
        <f>F44+G44-H44</f>
        <v>3252.5375032763673</v>
      </c>
      <c r="J44">
        <f>I44-D44</f>
        <v>0.0</v>
      </c>
      <c r="L44">
        <f>I44</f>
        <v>3252.5375032763673</v>
      </c>
      <c r="M44">
        <f>(1+$B$2)^((A44-$B$3)/365)</f>
        <v>2.3988468673035714</v>
      </c>
      <c r="N44">
        <f>IF(A44&lt;=$B$4,L44/M44,0)</f>
        <v>0</v>
      </c>
      <c r="O44">
        <f>IF(A44&lt;=$B$5,L44/M44,0)</f>
        <v>0</v>
      </c>
      <c r="P44">
        <f>IF(A44&lt;=$B$6,L44/M44,0)</f>
        <v>1355.875419814683</v>
      </c>
    </row>
    <row r="45" spans="1:16">
      <c r="A45" s="1">
        <v>54239</v>
      </c>
      <c r="B45" s="1">
        <v>54057</v>
      </c>
      <c r="C45">
        <v>37</v>
      </c>
      <c r="D45">
        <v>5325.472315737989</v>
      </c>
      <c r="E45">
        <v>4755.379770208024</v>
      </c>
      <c r="F45">
        <v>5325.472315737989</v>
      </c>
      <c r="G45">
        <v>0</v>
      </c>
      <c r="H45">
        <v>0</v>
      </c>
      <c r="I45">
        <f>F45+G45-H45</f>
        <v>5325.4723157379885</v>
      </c>
      <c r="J45">
        <f>I45-D45</f>
        <v>0.0</v>
      </c>
      <c r="L45">
        <f>I45</f>
        <v>5325.4723157379885</v>
      </c>
      <c r="M45">
        <f>(1+$B$2)^((A45-$B$3)/365)</f>
        <v>2.4637515038643434</v>
      </c>
      <c r="N45">
        <f>IF(A45&lt;=$B$4,L45/M45,0)</f>
        <v>0</v>
      </c>
      <c r="O45">
        <f>IF(A45&lt;=$B$5,L45/M45,0)</f>
        <v>0</v>
      </c>
      <c r="P45">
        <f>IF(A45&lt;=$B$6,L45/M45,0)</f>
        <v>2161.529808255863</v>
      </c>
    </row>
    <row r="46" spans="1:16">
      <c r="A46" s="1">
        <v>54423</v>
      </c>
      <c r="B46" s="1">
        <v>54239</v>
      </c>
      <c r="C46">
        <v>38</v>
      </c>
      <c r="D46">
        <v>3179.663268087117</v>
      </c>
      <c r="E46">
        <v>2880.441034081591</v>
      </c>
      <c r="F46">
        <v>5503.026319426414</v>
      </c>
      <c r="G46">
        <v>0</v>
      </c>
      <c r="H46">
        <v>2323.363051339298</v>
      </c>
      <c r="I46">
        <f>F46+G46-H46</f>
        <v>3179.6632680871166</v>
      </c>
      <c r="J46">
        <f>I46-D46</f>
        <v>0.0</v>
      </c>
      <c r="L46">
        <f>I46</f>
        <v>3179.6632680871166</v>
      </c>
      <c r="M46">
        <f>(1+$B$2)^((A46-$B$3)/365)</f>
        <v>2.5311547053480434</v>
      </c>
      <c r="N46">
        <f>IF(A46&lt;=$B$4,L46/M46,0)</f>
        <v>0</v>
      </c>
      <c r="O46">
        <f>IF(A46&lt;=$B$5,L46/M46,0)</f>
        <v>0</v>
      </c>
      <c r="P46">
        <f>IF(A46&lt;=$B$6,L46/M46,0)</f>
        <v>1256.2105593027752</v>
      </c>
    </row>
    <row r="47" spans="1:16">
      <c r="A47" s="1">
        <v>54604</v>
      </c>
      <c r="B47" s="1">
        <v>54423</v>
      </c>
      <c r="C47">
        <v>39</v>
      </c>
      <c r="D47">
        <v>5428.134031517602</v>
      </c>
      <c r="E47">
        <v>4847.130482261568</v>
      </c>
      <c r="F47">
        <v>5428.134031517602</v>
      </c>
      <c r="G47">
        <v>0</v>
      </c>
      <c r="H47">
        <v>0</v>
      </c>
      <c r="I47">
        <f>F47+G47-H47</f>
        <v>5428.134031517602</v>
      </c>
      <c r="J47">
        <f>I47-D47</f>
        <v>0.0</v>
      </c>
      <c r="L47">
        <f>I47</f>
        <v>5428.134031517602</v>
      </c>
      <c r="M47">
        <f>(1+$B$2)^((A47-$B$3)/365)</f>
        <v>2.5992578365768817</v>
      </c>
      <c r="N47">
        <f>IF(A47&lt;=$B$4,L47/M47,0)</f>
        <v>0</v>
      </c>
      <c r="O47">
        <f>IF(A47&lt;=$B$5,L47/M47,0)</f>
        <v>0</v>
      </c>
      <c r="P47">
        <f>IF(A47&lt;=$B$6,L47/M47,0)</f>
        <v>2088.339969637732</v>
      </c>
    </row>
    <row r="48" spans="1:16">
      <c r="A48" s="1">
        <v>54788</v>
      </c>
      <c r="B48" s="1">
        <v>54604</v>
      </c>
      <c r="C48">
        <v>40</v>
      </c>
      <c r="D48">
        <v>3247.687615864504</v>
      </c>
      <c r="E48">
        <v>2940.267749837783</v>
      </c>
      <c r="F48">
        <v>5639.848718641833</v>
      </c>
      <c r="G48">
        <v>0</v>
      </c>
      <c r="H48">
        <v>2392.16110277733</v>
      </c>
      <c r="I48">
        <f>F48+G48-H48</f>
        <v>3247.6876158645036</v>
      </c>
      <c r="J48">
        <f>I48-D48</f>
        <v>0.0</v>
      </c>
      <c r="L48">
        <f>I48</f>
        <v>3247.6876158645036</v>
      </c>
      <c r="M48">
        <f>(1+$B$2)^((A48-$B$3)/365)</f>
        <v>2.6703682141421856</v>
      </c>
      <c r="N48">
        <f>IF(A48&lt;=$B$4,L48/M48,0)</f>
        <v>0</v>
      </c>
      <c r="O48">
        <f>IF(A48&lt;=$B$5,L48/M48,0)</f>
        <v>0</v>
      </c>
      <c r="P48">
        <f>IF(A48&lt;=$B$6,L48/M48,0)</f>
        <v>1216.1946800687833</v>
      </c>
    </row>
    <row r="49" spans="1:16">
      <c r="A49" s="1">
        <v>54969</v>
      </c>
      <c r="B49" s="1">
        <v>54788</v>
      </c>
      <c r="C49">
        <v>41</v>
      </c>
      <c r="D49">
        <v>5547.894663446586</v>
      </c>
      <c r="E49">
        <v>4954.151248075567</v>
      </c>
      <c r="F49">
        <v>5547.894663446586</v>
      </c>
      <c r="G49">
        <v>0</v>
      </c>
      <c r="H49">
        <v>0</v>
      </c>
      <c r="I49">
        <f>F49+G49-H49</f>
        <v>5547.8946634465865</v>
      </c>
      <c r="J49">
        <f>I49-D49</f>
        <v>0.0</v>
      </c>
      <c r="L49">
        <f>I49</f>
        <v>5547.8946634465865</v>
      </c>
      <c r="M49">
        <f>(1+$B$2)^((A49-$B$3)/365)</f>
        <v>2.7422170175886103</v>
      </c>
      <c r="N49">
        <f>IF(A49&lt;=$B$4,L49/M49,0)</f>
        <v>0</v>
      </c>
      <c r="O49">
        <f>IF(A49&lt;=$B$5,L49/M49,0)</f>
        <v>0</v>
      </c>
      <c r="P49">
        <f>IF(A49&lt;=$B$6,L49/M49,0)</f>
        <v>2023.142088267387</v>
      </c>
    </row>
    <row r="50" spans="1:16">
      <c r="A50" s="1">
        <v>55153</v>
      </c>
      <c r="B50" s="1">
        <v>54969</v>
      </c>
      <c r="C50">
        <v>42</v>
      </c>
      <c r="D50">
        <v>3310.879544883163</v>
      </c>
      <c r="E50">
        <v>2996.737463865772</v>
      </c>
      <c r="F50">
        <v>5764.02924571604</v>
      </c>
      <c r="G50">
        <v>0</v>
      </c>
      <c r="H50">
        <v>2453.149700832877</v>
      </c>
      <c r="I50">
        <f>F50+G50-H50</f>
        <v>3310.8795448831634</v>
      </c>
      <c r="J50">
        <f>I50-D50</f>
        <v>0.0</v>
      </c>
      <c r="L50">
        <f>I50</f>
        <v>3310.8795448831634</v>
      </c>
      <c r="M50">
        <f>(1+$B$2)^((A50-$B$3)/365)</f>
        <v>2.8172384659200054</v>
      </c>
      <c r="N50">
        <f>IF(A50&lt;=$B$4,L50/M50,0)</f>
        <v>0</v>
      </c>
      <c r="O50">
        <f>IF(A50&lt;=$B$5,L50/M50,0)</f>
        <v>0</v>
      </c>
      <c r="P50">
        <f>IF(A50&lt;=$B$6,L50/M50,0)</f>
        <v>1175.2216168189914</v>
      </c>
    </row>
    <row r="51" spans="1:16">
      <c r="A51" s="1">
        <v>55334</v>
      </c>
      <c r="B51" s="1">
        <v>55153</v>
      </c>
      <c r="C51">
        <v>43</v>
      </c>
      <c r="D51">
        <v>5670.050508014147</v>
      </c>
      <c r="E51">
        <v>5063.312429205845</v>
      </c>
      <c r="F51">
        <v>5670.050508014147</v>
      </c>
      <c r="G51">
        <v>0</v>
      </c>
      <c r="H51">
        <v>0</v>
      </c>
      <c r="I51">
        <f>F51+G51-H51</f>
        <v>5670.0505080141465</v>
      </c>
      <c r="J51">
        <f>I51-D51</f>
        <v>0.0</v>
      </c>
      <c r="L51">
        <f>I51</f>
        <v>5670.0505080141465</v>
      </c>
      <c r="M51">
        <f>(1+$B$2)^((A51-$B$3)/365)</f>
        <v>2.8930389535559837</v>
      </c>
      <c r="N51">
        <f>IF(A51&lt;=$B$4,L51/M51,0)</f>
        <v>0</v>
      </c>
      <c r="O51">
        <f>IF(A51&lt;=$B$5,L51/M51,0)</f>
        <v>0</v>
      </c>
      <c r="P51">
        <f>IF(A51&lt;=$B$6,L51/M51,0)</f>
        <v>1959.8942838446037</v>
      </c>
    </row>
    <row r="52" spans="1:16">
      <c r="A52" s="1">
        <v>55518</v>
      </c>
      <c r="B52" s="1">
        <v>55334</v>
      </c>
      <c r="C52">
        <v>44</v>
      </c>
      <c r="D52">
        <v>3375.354373307957</v>
      </c>
      <c r="E52">
        <v>3054.353293263961</v>
      </c>
      <c r="F52">
        <v>5890.693383331732</v>
      </c>
      <c r="G52">
        <v>0</v>
      </c>
      <c r="H52">
        <v>2515.339010023775</v>
      </c>
      <c r="I52">
        <f>F52+G52-H52</f>
        <v>3375.354373307957</v>
      </c>
      <c r="J52">
        <f>I52-D52</f>
        <v>0.0</v>
      </c>
      <c r="L52">
        <f>I52</f>
        <v>3375.354373307957</v>
      </c>
      <c r="M52">
        <f>(1+$B$2)^((A52-$B$3)/365)</f>
        <v>2.9721865815456057</v>
      </c>
      <c r="N52">
        <f>IF(A52&lt;=$B$4,L52/M52,0)</f>
        <v>0</v>
      </c>
      <c r="O52">
        <f>IF(A52&lt;=$B$5,L52/M52,0)</f>
        <v>0</v>
      </c>
      <c r="P52">
        <f>IF(A52&lt;=$B$6,L52/M52,0)</f>
        <v>1135.64686492619</v>
      </c>
    </row>
    <row r="53" spans="1:16">
      <c r="A53" s="1">
        <v>55700</v>
      </c>
      <c r="B53" s="1">
        <v>55518</v>
      </c>
      <c r="C53">
        <v>45</v>
      </c>
      <c r="D53">
        <v>5810.744260137902</v>
      </c>
      <c r="E53">
        <v>5189.029578840661</v>
      </c>
      <c r="F53">
        <v>5810.744260137902</v>
      </c>
      <c r="G53">
        <v>0</v>
      </c>
      <c r="H53">
        <v>0</v>
      </c>
      <c r="I53">
        <f>F53+G53-H53</f>
        <v>5810.744260137902</v>
      </c>
      <c r="J53">
        <f>I53-D53</f>
        <v>0.0</v>
      </c>
      <c r="L53">
        <f>I53</f>
        <v>5810.744260137902</v>
      </c>
      <c r="M53">
        <f>(1+$B$2)^((A53-$B$3)/365)</f>
        <v>3.0526038405609173</v>
      </c>
      <c r="N53">
        <f>IF(A53&lt;=$B$4,L53/M53,0)</f>
        <v>0</v>
      </c>
      <c r="O53">
        <f>IF(A53&lt;=$B$5,L53/M53,0)</f>
        <v>0</v>
      </c>
      <c r="P53">
        <f>IF(A53&lt;=$B$6,L53/M53,0)</f>
        <v>1903.536968318226</v>
      </c>
    </row>
    <row r="54" spans="1:16">
      <c r="A54" s="1">
        <v>55884</v>
      </c>
      <c r="B54" s="1">
        <v>55700</v>
      </c>
      <c r="C54">
        <v>46</v>
      </c>
      <c r="D54">
        <v>3424.70159513038</v>
      </c>
      <c r="E54">
        <v>3098.461611247205</v>
      </c>
      <c r="F54">
        <v>6003.443014618588</v>
      </c>
      <c r="G54">
        <v>0</v>
      </c>
      <c r="H54">
        <v>2578.741419488208</v>
      </c>
      <c r="I54">
        <f>F54+G54-H54</f>
        <v>3424.7015951303797</v>
      </c>
      <c r="J54">
        <f>I54-D54</f>
        <v>0.0</v>
      </c>
      <c r="L54">
        <f>I54</f>
        <v>3424.7015951303797</v>
      </c>
      <c r="M54">
        <f>(1+$B$2)^((A54-$B$3)/365)</f>
        <v>3.13611683746524</v>
      </c>
      <c r="N54">
        <f>IF(A54&lt;=$B$4,L54/M54,0)</f>
        <v>0</v>
      </c>
      <c r="O54">
        <f>IF(A54&lt;=$B$5,L54/M54,0)</f>
        <v>0</v>
      </c>
      <c r="P54">
        <f>IF(A54&lt;=$B$6,L54/M54,0)</f>
        <v>1092.0197724196996</v>
      </c>
    </row>
    <row r="55" spans="1:16">
      <c r="A55" s="1">
        <v>56065</v>
      </c>
      <c r="B55" s="1">
        <v>55884</v>
      </c>
      <c r="C55">
        <v>47</v>
      </c>
      <c r="D55">
        <v>5921.740410161152</v>
      </c>
      <c r="E55">
        <v>5288.228126806671</v>
      </c>
      <c r="F55">
        <v>5921.740410161152</v>
      </c>
      <c r="G55">
        <v>0</v>
      </c>
      <c r="H55">
        <v>0</v>
      </c>
      <c r="I55">
        <f>F55+G55-H55</f>
        <v>5921.740410161152</v>
      </c>
      <c r="J55">
        <f>I55-D55</f>
        <v>0.0</v>
      </c>
      <c r="L55">
        <f>I55</f>
        <v>5921.740410161152</v>
      </c>
      <c r="M55">
        <f>(1+$B$2)^((A55-$B$3)/365)</f>
        <v>3.2204970517917673</v>
      </c>
      <c r="N55">
        <f>IF(A55&lt;=$B$4,L55/M55,0)</f>
        <v>0</v>
      </c>
      <c r="O55">
        <f>IF(A55&lt;=$B$5,L55/M55,0)</f>
        <v>0</v>
      </c>
      <c r="P55">
        <f>IF(A55&lt;=$B$6,L55/M55,0)</f>
        <v>1838.7659777134438</v>
      </c>
    </row>
    <row r="56" spans="1:16">
      <c r="A56" s="1">
        <v>56249</v>
      </c>
      <c r="B56" s="1">
        <v>56065</v>
      </c>
      <c r="C56">
        <v>48</v>
      </c>
      <c r="D56">
        <v>3508.139976043245</v>
      </c>
      <c r="E56">
        <v>3173.013774933253</v>
      </c>
      <c r="F56">
        <v>6151.672172475101</v>
      </c>
      <c r="G56">
        <v>0</v>
      </c>
      <c r="H56">
        <v>2643.532196431856</v>
      </c>
      <c r="I56">
        <f>F56+G56-H56</f>
        <v>3508.1399760432446</v>
      </c>
      <c r="J56">
        <f>I56-D56</f>
        <v>0.0</v>
      </c>
      <c r="L56">
        <f>I56</f>
        <v>3508.1399760432446</v>
      </c>
      <c r="M56">
        <f>(1+$B$2)^((A56-$B$3)/365)</f>
        <v>3.3086032635258285</v>
      </c>
      <c r="N56">
        <f>IF(A56&lt;=$B$4,L56/M56,0)</f>
        <v>0</v>
      </c>
      <c r="O56">
        <f>IF(A56&lt;=$B$5,L56/M56,0)</f>
        <v>0</v>
      </c>
      <c r="P56">
        <f>IF(A56&lt;=$B$6,L56/M56,0)</f>
        <v>1060.3084433595036</v>
      </c>
    </row>
    <row r="57" spans="1:16">
      <c r="A57" s="1">
        <v>56430</v>
      </c>
      <c r="B57" s="1">
        <v>56249</v>
      </c>
      <c r="C57">
        <v>49</v>
      </c>
      <c r="D57">
        <v>6051.373169663004</v>
      </c>
      <c r="E57">
        <v>5404.070845511571</v>
      </c>
      <c r="F57">
        <v>6051.373169663004</v>
      </c>
      <c r="G57">
        <v>0</v>
      </c>
      <c r="H57">
        <v>0</v>
      </c>
      <c r="I57">
        <f>F57+G57-H57</f>
        <v>6051.373169663004</v>
      </c>
      <c r="J57">
        <f>I57-D57</f>
        <v>0.0</v>
      </c>
      <c r="L57">
        <f>I57</f>
        <v>6051.373169663004</v>
      </c>
      <c r="M57">
        <f>(1+$B$2)^((A57-$B$3)/365)</f>
        <v>3.3976243896403147</v>
      </c>
      <c r="N57">
        <f>IF(A57&lt;=$B$4,L57/M57,0)</f>
        <v>0</v>
      </c>
      <c r="O57">
        <f>IF(A57&lt;=$B$5,L57/M57,0)</f>
        <v>0</v>
      </c>
      <c r="P57">
        <f>IF(A57&lt;=$B$6,L57/M57,0)</f>
        <v>1781.0600807182295</v>
      </c>
    </row>
    <row r="58" spans="1:16">
      <c r="A58" s="1">
        <v>56614</v>
      </c>
      <c r="B58" s="1">
        <v>56430</v>
      </c>
      <c r="C58">
        <v>50</v>
      </c>
      <c r="D58">
        <v>3576.54095226548</v>
      </c>
      <c r="E58">
        <v>3234.138409463151</v>
      </c>
      <c r="F58">
        <v>6286.089168625973</v>
      </c>
      <c r="G58">
        <v>0</v>
      </c>
      <c r="H58">
        <v>2709.548216360493</v>
      </c>
      <c r="I58">
        <f>F58+G58-H58</f>
        <v>3576.54095226548</v>
      </c>
      <c r="J58">
        <f>I58-D58</f>
        <v>0.0</v>
      </c>
      <c r="L58">
        <f>I58</f>
        <v>3576.54095226548</v>
      </c>
      <c r="M58">
        <f>(1+$B$2)^((A58-$B$3)/365)</f>
        <v>3.490576443019749</v>
      </c>
      <c r="N58">
        <f>IF(A58&lt;=$B$4,L58/M58,0)</f>
        <v>0</v>
      </c>
      <c r="O58">
        <f>IF(A58&lt;=$B$5,L58/M58,0)</f>
        <v>0</v>
      </c>
      <c r="P58">
        <f>IF(A58&lt;=$B$6,L58/M58,0)</f>
        <v>1024.627596802138</v>
      </c>
    </row>
    <row r="59" spans="1:16">
      <c r="A59" s="1">
        <v>56795</v>
      </c>
      <c r="B59" s="1">
        <v>56614</v>
      </c>
      <c r="C59">
        <v>51</v>
      </c>
      <c r="D59">
        <v>6183.598584354895</v>
      </c>
      <c r="E59">
        <v>5522.23041859057</v>
      </c>
      <c r="F59">
        <v>6183.598584354895</v>
      </c>
      <c r="G59">
        <v>0</v>
      </c>
      <c r="H59">
        <v>0</v>
      </c>
      <c r="I59">
        <f>F59+G59-H59</f>
        <v>6183.598584354895</v>
      </c>
      <c r="J59">
        <f>I59-D59</f>
        <v>0.0</v>
      </c>
      <c r="L59">
        <f>I59</f>
        <v>6183.598584354895</v>
      </c>
      <c r="M59">
        <f>(1+$B$2)^((A59-$B$3)/365)</f>
        <v>3.5844937310705314</v>
      </c>
      <c r="N59">
        <f>IF(A59&lt;=$B$4,L59/M59,0)</f>
        <v>0</v>
      </c>
      <c r="O59">
        <f>IF(A59&lt;=$B$5,L59/M59,0)</f>
        <v>0</v>
      </c>
      <c r="P59">
        <f>IF(A59&lt;=$B$6,L59/M59,0)</f>
        <v>1725.0967774766132</v>
      </c>
    </row>
    <row r="60" spans="1:16">
      <c r="A60" s="1">
        <v>56979</v>
      </c>
      <c r="B60" s="1">
        <v>56795</v>
      </c>
      <c r="C60">
        <v>52</v>
      </c>
      <c r="D60">
        <v>3646.330985632887</v>
      </c>
      <c r="E60">
        <v>3296.504024281263</v>
      </c>
      <c r="F60">
        <v>6423.194504699863</v>
      </c>
      <c r="G60">
        <v>0</v>
      </c>
      <c r="H60">
        <v>2776.863519066975</v>
      </c>
      <c r="I60">
        <f>F60+G60-H60</f>
        <v>3646.3309856328874</v>
      </c>
      <c r="J60">
        <f>I60-D60</f>
        <v>0.0</v>
      </c>
      <c r="L60">
        <f>I60</f>
        <v>3646.3309856328874</v>
      </c>
      <c r="M60">
        <f>(1+$B$2)^((A60-$B$3)/365)</f>
        <v>3.682558147385835</v>
      </c>
      <c r="N60">
        <f>IF(A60&lt;=$B$4,L60/M60,0)</f>
        <v>0</v>
      </c>
      <c r="O60">
        <f>IF(A60&lt;=$B$5,L60/M60,0)</f>
        <v>0</v>
      </c>
      <c r="P60">
        <f>IF(A60&lt;=$B$6,L60/M60,0)</f>
        <v>990.1625010921649</v>
      </c>
    </row>
    <row r="61" spans="1:16">
      <c r="A61" s="1">
        <v>57161</v>
      </c>
      <c r="B61" s="1">
        <v>56979</v>
      </c>
      <c r="C61">
        <v>53</v>
      </c>
      <c r="D61">
        <v>6336.018219102099</v>
      </c>
      <c r="E61">
        <v>5658.426077882472</v>
      </c>
      <c r="F61">
        <v>6336.018219102099</v>
      </c>
      <c r="G61">
        <v>0</v>
      </c>
      <c r="H61">
        <v>0</v>
      </c>
      <c r="I61">
        <f>F61+G61-H61</f>
        <v>6336.0182191020995</v>
      </c>
      <c r="J61">
        <f>I61-D61</f>
        <v>0.0</v>
      </c>
      <c r="L61">
        <f>I61</f>
        <v>6336.0182191020995</v>
      </c>
      <c r="M61">
        <f>(1+$B$2)^((A61-$B$3)/365)</f>
        <v>3.7821956446466136</v>
      </c>
      <c r="N61">
        <f>IF(A61&lt;=$B$4,L61/M61,0)</f>
        <v>0</v>
      </c>
      <c r="O61">
        <f>IF(A61&lt;=$B$5,L61/M61,0)</f>
        <v>0</v>
      </c>
      <c r="P61">
        <f>IF(A61&lt;=$B$6,L61/M61,0)</f>
        <v>1675.2222292017632</v>
      </c>
    </row>
    <row r="62" spans="1:16">
      <c r="A62" s="1">
        <v>57345</v>
      </c>
      <c r="B62" s="1">
        <v>57161</v>
      </c>
      <c r="C62">
        <v>54</v>
      </c>
      <c r="D62">
        <v>3547.975411723524</v>
      </c>
      <c r="E62">
        <v>3192.490546481947</v>
      </c>
      <c r="F62">
        <v>6545.110138895516</v>
      </c>
      <c r="G62">
        <v>0</v>
      </c>
      <c r="H62">
        <v>2997.134727171991</v>
      </c>
      <c r="I62">
        <f>F62+G62-H62</f>
        <v>3547.9754117235243</v>
      </c>
      <c r="J62">
        <f>I62-D62</f>
        <v>0.0</v>
      </c>
      <c r="L62">
        <f>I62</f>
        <v>3547.9754117235243</v>
      </c>
      <c r="M62">
        <f>(1+$B$2)^((A62-$B$3)/365)</f>
        <v>3.885668780913413</v>
      </c>
      <c r="N62">
        <f>IF(A62&lt;=$B$4,L62/M62,0)</f>
        <v>0</v>
      </c>
      <c r="O62">
        <f>IF(A62&lt;=$B$5,L62/M62,0)</f>
        <v>0</v>
      </c>
      <c r="P62">
        <f>IF(A62&lt;=$B$6,L62/M62,0)</f>
        <v>913.0926004685077</v>
      </c>
    </row>
    <row r="63" spans="1:16">
      <c r="A63" s="1">
        <v>57526</v>
      </c>
      <c r="B63" s="1">
        <v>57345</v>
      </c>
      <c r="C63">
        <v>55</v>
      </c>
      <c r="D63">
        <v>6456.035828786066</v>
      </c>
      <c r="E63">
        <v>5765.686402962539</v>
      </c>
      <c r="F63">
        <v>6456.035828786066</v>
      </c>
      <c r="G63">
        <v>0</v>
      </c>
      <c r="H63">
        <v>0</v>
      </c>
      <c r="I63">
        <f>F63+G63-H63</f>
        <v>6456.035828786066</v>
      </c>
      <c r="J63">
        <f>I63-D63</f>
        <v>0.0</v>
      </c>
      <c r="L63">
        <f>I63</f>
        <v>6456.035828786066</v>
      </c>
      <c r="M63">
        <f>(1+$B$2)^((A63-$B$3)/365)</f>
        <v>3.9902164051021773</v>
      </c>
      <c r="N63">
        <f>IF(A63&lt;=$B$4,L63/M63,0)</f>
        <v>0</v>
      </c>
      <c r="O63">
        <f>IF(A63&lt;=$B$5,L63/M63,0)</f>
        <v>0</v>
      </c>
      <c r="P63">
        <f>IF(A63&lt;=$B$6,L63/M63,0)</f>
        <v>1617.966339001292</v>
      </c>
    </row>
    <row r="64" spans="1:16">
      <c r="A64" s="1">
        <v>57710</v>
      </c>
      <c r="B64" s="1">
        <v>57526</v>
      </c>
      <c r="C64">
        <v>56</v>
      </c>
      <c r="D64">
        <v>3490.061986848619</v>
      </c>
      <c r="E64">
        <v>3124.945557608757</v>
      </c>
      <c r="F64">
        <v>6705.686339146505</v>
      </c>
      <c r="G64">
        <v>0</v>
      </c>
      <c r="H64">
        <v>3215.624352297886</v>
      </c>
      <c r="I64">
        <f>F64+G64-H64</f>
        <v>3490.0619868486187</v>
      </c>
      <c r="J64">
        <f>I64-D64</f>
        <v>0.0</v>
      </c>
      <c r="L64">
        <f>I64</f>
        <v>3490.0619868486187</v>
      </c>
      <c r="M64">
        <f>(1+$B$2)^((A64-$B$3)/365)</f>
        <v>4.099380563863651</v>
      </c>
      <c r="N64">
        <f>IF(A64&lt;=$B$4,L64/M64,0)</f>
        <v>0</v>
      </c>
      <c r="O64">
        <f>IF(A64&lt;=$B$5,L64/M64,0)</f>
        <v>0</v>
      </c>
      <c r="P64">
        <f>IF(A64&lt;=$B$6,L64/M64,0)</f>
        <v>851.3632565890024</v>
      </c>
    </row>
    <row r="65" spans="1:16">
      <c r="A65" s="1">
        <v>57891</v>
      </c>
      <c r="B65" s="1">
        <v>57710</v>
      </c>
      <c r="C65">
        <v>57</v>
      </c>
      <c r="D65">
        <v>4993.363160739016</v>
      </c>
      <c r="E65">
        <v>4463.431865225751</v>
      </c>
      <c r="F65">
        <v>6596.354496660418</v>
      </c>
      <c r="G65">
        <v>0</v>
      </c>
      <c r="H65">
        <v>1602.991335921401</v>
      </c>
      <c r="I65">
        <f>F65+G65-H65</f>
        <v>4993.363160739016</v>
      </c>
      <c r="J65">
        <f>I65-D65</f>
        <v>0.0</v>
      </c>
      <c r="L65">
        <f>I65</f>
        <v>4993.363160739016</v>
      </c>
      <c r="M65">
        <f>(1+$B$2)^((A65-$B$3)/365)</f>
        <v>4.209678307382797</v>
      </c>
      <c r="N65">
        <f>IF(A65&lt;=$B$4,L65/M65,0)</f>
        <v>0</v>
      </c>
      <c r="O65">
        <f>IF(A65&lt;=$B$5,L65/M65,0)</f>
        <v>0</v>
      </c>
      <c r="P65">
        <f>IF(A65&lt;=$B$6,L65/M65,0)</f>
        <v>1186.1626462007366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15">
      <c r="A1" t="s">
        <v>41</v>
      </c>
      <c r="B1">
        <v>0.08</v>
      </c>
      <c r="C1" t="s">
        <v>42</v>
      </c>
      <c r="D1">
        <v>0.12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</row>
    <row r="4" spans="1:15">
      <c r="A4" s="1">
        <v>47664</v>
      </c>
      <c r="B4">
        <v>41200</v>
      </c>
      <c r="C4">
        <v>0</v>
      </c>
      <c r="D4">
        <v>0</v>
      </c>
      <c r="E4">
        <v>0</v>
      </c>
      <c r="F4">
        <f>-B4+C4-D4+E4</f>
        <v>-41200.0</v>
      </c>
      <c r="G4">
        <f>F4/((1+$B$1)^((A4-$A$4)/365))</f>
        <v>-41200.0</v>
      </c>
      <c r="H4" s="1">
        <v>47484</v>
      </c>
      <c r="I4">
        <v>500</v>
      </c>
      <c r="J4">
        <v>11668.38598649466</v>
      </c>
      <c r="K4">
        <v>0</v>
      </c>
      <c r="L4">
        <v>0</v>
      </c>
      <c r="M4">
        <v>0</v>
      </c>
      <c r="N4">
        <f>-I4-J4+K4+L4+M4</f>
        <v>-12168.385986494664</v>
      </c>
      <c r="O4">
        <f>N4/((1+$D$1)^((H4-$H$4)/365))</f>
        <v>-12168.385986494664</v>
      </c>
    </row>
    <row r="5" spans="1:15">
      <c r="A5" s="1">
        <v>47848</v>
      </c>
      <c r="B5">
        <v>1800</v>
      </c>
      <c r="C5">
        <v>0</v>
      </c>
      <c r="D5">
        <v>0</v>
      </c>
      <c r="E5">
        <v>0</v>
      </c>
      <c r="F5">
        <f>-B5+C5-D5+E5</f>
        <v>-1800.0</v>
      </c>
      <c r="G5">
        <f>F5/((1+$B$1)^((A5-$A$4)/365))</f>
        <v>-1731.5030841894552</v>
      </c>
      <c r="H5" s="1">
        <v>47665</v>
      </c>
      <c r="I5">
        <v>0</v>
      </c>
      <c r="J5">
        <v>0</v>
      </c>
      <c r="K5">
        <v>0</v>
      </c>
      <c r="L5">
        <v>0</v>
      </c>
      <c r="M5">
        <v>0</v>
      </c>
      <c r="N5">
        <f>-I5-J5+K5+L5+M5</f>
        <v>0.0</v>
      </c>
      <c r="O5">
        <f>N5/((1+$D$1)^((H5-$H$4)/365))</f>
        <v>0.0</v>
      </c>
    </row>
    <row r="6" spans="1:15">
      <c r="A6" s="1">
        <v>48029</v>
      </c>
      <c r="B6">
        <v>0</v>
      </c>
      <c r="C6">
        <v>0</v>
      </c>
      <c r="D6">
        <v>0</v>
      </c>
      <c r="E6">
        <v>0</v>
      </c>
      <c r="F6">
        <f>-B6+C6-D6+E6</f>
        <v>0.0</v>
      </c>
      <c r="G6">
        <f>F6/((1+$B$1)^((A6-$A$4)/365))</f>
        <v>0.0</v>
      </c>
      <c r="H6" s="1">
        <v>47849</v>
      </c>
      <c r="I6">
        <v>0</v>
      </c>
      <c r="J6">
        <v>0</v>
      </c>
      <c r="K6">
        <v>0</v>
      </c>
      <c r="L6">
        <v>0</v>
      </c>
      <c r="M6">
        <v>0</v>
      </c>
      <c r="N6">
        <f>-I6-J6+K6+L6+M6</f>
        <v>0.0</v>
      </c>
      <c r="O6">
        <f>N6/((1+$D$1)^((H6-$H$4)/365))</f>
        <v>0.0</v>
      </c>
    </row>
    <row r="7" spans="1:15">
      <c r="A7" s="1">
        <v>48091</v>
      </c>
      <c r="B7">
        <v>0</v>
      </c>
      <c r="C7">
        <v>0</v>
      </c>
      <c r="D7">
        <v>0</v>
      </c>
      <c r="E7">
        <v>0</v>
      </c>
      <c r="F7">
        <f>-B7+C7-D7+E7</f>
        <v>0.0</v>
      </c>
      <c r="G7">
        <f>F7/((1+$B$1)^((A7-$A$4)/365))</f>
        <v>0.0</v>
      </c>
      <c r="H7" s="1">
        <v>48030</v>
      </c>
      <c r="I7">
        <v>0</v>
      </c>
      <c r="J7">
        <v>0</v>
      </c>
      <c r="K7">
        <v>0</v>
      </c>
      <c r="L7">
        <v>0</v>
      </c>
      <c r="M7">
        <v>0</v>
      </c>
      <c r="N7">
        <f>-I7-J7+K7+L7+M7</f>
        <v>0.0</v>
      </c>
      <c r="O7">
        <f>N7/((1+$D$1)^((H7-$H$4)/365))</f>
        <v>0.0</v>
      </c>
    </row>
    <row r="8" spans="1:15">
      <c r="A8" s="1">
        <v>48213</v>
      </c>
      <c r="B8">
        <v>0</v>
      </c>
      <c r="C8">
        <v>2269.196256438356</v>
      </c>
      <c r="D8">
        <v>378.1735324679991</v>
      </c>
      <c r="E8">
        <v>0</v>
      </c>
      <c r="F8">
        <f>-B8+C8-D8+E8</f>
        <v>1891.0227239703572</v>
      </c>
      <c r="G8">
        <f>F8/((1+$B$1)^((A8-$A$4)/365))</f>
        <v>1684.3167072155443</v>
      </c>
      <c r="H8" s="1">
        <v>48213</v>
      </c>
      <c r="I8">
        <v>0</v>
      </c>
      <c r="J8">
        <v>0</v>
      </c>
      <c r="K8">
        <v>197.5089846570717</v>
      </c>
      <c r="L8">
        <v>312.0094444607888</v>
      </c>
      <c r="M8">
        <v>0</v>
      </c>
      <c r="N8">
        <f>-I8-J8+K8+L8+M8</f>
        <v>509.5184291178605</v>
      </c>
      <c r="O8">
        <f>N8/((1+$D$1)^((H8-$H$4)/365))</f>
        <v>406.31110796181747</v>
      </c>
    </row>
    <row r="9" spans="1:15">
      <c r="A9" s="1">
        <v>48395</v>
      </c>
      <c r="B9">
        <v>0</v>
      </c>
      <c r="C9">
        <v>3375.945250273223</v>
      </c>
      <c r="D9">
        <v>0</v>
      </c>
      <c r="E9">
        <v>0</v>
      </c>
      <c r="F9">
        <f>-B9+C9-D9+E9</f>
        <v>3375.9452502732233</v>
      </c>
      <c r="G9">
        <f>F9/((1+$B$1)^((A9-$A$4)/365))</f>
        <v>2893.7187070812256</v>
      </c>
      <c r="H9" s="1">
        <v>48395</v>
      </c>
      <c r="I9">
        <v>0</v>
      </c>
      <c r="J9">
        <v>0</v>
      </c>
      <c r="K9">
        <v>402.5927789707763</v>
      </c>
      <c r="L9">
        <v>464.1849725774927</v>
      </c>
      <c r="M9">
        <v>0</v>
      </c>
      <c r="N9">
        <f>-I9-J9+K9+L9+M9</f>
        <v>866.777751548269</v>
      </c>
      <c r="O9">
        <f>N9/((1+$D$1)^((H9-$H$4)/365))</f>
        <v>653.2282593173496</v>
      </c>
    </row>
    <row r="10" spans="1:15">
      <c r="A10" s="1">
        <v>48579</v>
      </c>
      <c r="B10">
        <v>0</v>
      </c>
      <c r="C10">
        <v>3492.656870819672</v>
      </c>
      <c r="D10">
        <v>1142.267397586047</v>
      </c>
      <c r="E10">
        <v>0</v>
      </c>
      <c r="F10">
        <f>-B10+C10-D10+E10</f>
        <v>2350.3894732336257</v>
      </c>
      <c r="G10">
        <f>F10/((1+$B$1)^((A10-$A$4)/365))</f>
        <v>1937.9899243391753</v>
      </c>
      <c r="H10" s="1">
        <v>48579</v>
      </c>
      <c r="I10">
        <v>0</v>
      </c>
      <c r="J10">
        <v>0</v>
      </c>
      <c r="K10">
        <v>202.2438521651399</v>
      </c>
      <c r="L10">
        <v>469.2859063420805</v>
      </c>
      <c r="M10">
        <v>0</v>
      </c>
      <c r="N10">
        <f>-I10-J10+K10+L10+M10</f>
        <v>671.5297585072203</v>
      </c>
      <c r="O10">
        <f>N10/((1+$D$1)^((H10-$H$4)/365))</f>
        <v>477.98161792434934</v>
      </c>
    </row>
    <row r="11" spans="1:15">
      <c r="A11" s="1">
        <v>48760</v>
      </c>
      <c r="B11">
        <v>0</v>
      </c>
      <c r="C11">
        <v>3445.124286246575</v>
      </c>
      <c r="D11">
        <v>0</v>
      </c>
      <c r="E11">
        <v>0</v>
      </c>
      <c r="F11">
        <f>-B11+C11-D11+E11</f>
        <v>3445.1242862465747</v>
      </c>
      <c r="G11">
        <f>F11/((1+$B$1)^((A11-$A$4)/365))</f>
        <v>2734.274144328948</v>
      </c>
      <c r="H11" s="1">
        <v>48760</v>
      </c>
      <c r="I11">
        <v>0</v>
      </c>
      <c r="J11">
        <v>0</v>
      </c>
      <c r="K11">
        <v>421.5646905083747</v>
      </c>
      <c r="L11">
        <v>462.8992577655965</v>
      </c>
      <c r="M11">
        <v>0</v>
      </c>
      <c r="N11">
        <f>-I11-J11+K11+L11+M11</f>
        <v>884.4639482739713</v>
      </c>
      <c r="O11">
        <f>N11/((1+$D$1)^((H11-$H$4)/365))</f>
        <v>595.1402482271952</v>
      </c>
    </row>
    <row r="12" spans="1:15">
      <c r="A12" s="1">
        <v>48944</v>
      </c>
      <c r="B12">
        <v>0</v>
      </c>
      <c r="C12">
        <v>3583.653862329863</v>
      </c>
      <c r="D12">
        <v>1182.305173106849</v>
      </c>
      <c r="E12">
        <v>0</v>
      </c>
      <c r="F12">
        <f>-B12+C12-D12+E12</f>
        <v>2401.348689223014</v>
      </c>
      <c r="G12">
        <f>F12/((1+$B$1)^((A12-$A$4)/365))</f>
        <v>1833.340584904047</v>
      </c>
      <c r="H12" s="1">
        <v>48944</v>
      </c>
      <c r="I12">
        <v>0</v>
      </c>
      <c r="J12">
        <v>0</v>
      </c>
      <c r="K12">
        <v>206.7283468471887</v>
      </c>
      <c r="L12">
        <v>470.5716211539767</v>
      </c>
      <c r="M12">
        <v>0</v>
      </c>
      <c r="N12">
        <f>-I12-J12+K12+L12+M12</f>
        <v>677.2999680011653</v>
      </c>
      <c r="O12">
        <f>N12/((1+$D$1)^((H12-$H$4)/365))</f>
        <v>430.4363741677543</v>
      </c>
    </row>
    <row r="13" spans="1:15">
      <c r="A13" s="1">
        <v>49125</v>
      </c>
      <c r="B13">
        <v>0</v>
      </c>
      <c r="C13">
        <v>3525.224723270136</v>
      </c>
      <c r="D13">
        <v>0</v>
      </c>
      <c r="E13">
        <v>0</v>
      </c>
      <c r="F13">
        <f>-B13+C13-D13+E13</f>
        <v>3525.224723270136</v>
      </c>
      <c r="G13">
        <f>F13/((1+$B$1)^((A13-$A$4)/365))</f>
        <v>2590.59911838914</v>
      </c>
      <c r="H13" s="1">
        <v>49125</v>
      </c>
      <c r="I13">
        <v>0</v>
      </c>
      <c r="J13">
        <v>0</v>
      </c>
      <c r="K13">
        <v>442.0534572985123</v>
      </c>
      <c r="L13">
        <v>462.8992577655965</v>
      </c>
      <c r="M13">
        <v>0</v>
      </c>
      <c r="N13">
        <f>-I13-J13+K13+L13+M13</f>
        <v>904.9527150641088</v>
      </c>
      <c r="O13">
        <f>N13/((1+$D$1)^((H13-$H$4)/365))</f>
        <v>543.6846244231494</v>
      </c>
    </row>
    <row r="14" spans="1:15">
      <c r="A14" s="1">
        <v>49309</v>
      </c>
      <c r="B14">
        <v>0</v>
      </c>
      <c r="C14">
        <v>3666.710492277831</v>
      </c>
      <c r="D14">
        <v>1223.096652568986</v>
      </c>
      <c r="E14">
        <v>0</v>
      </c>
      <c r="F14">
        <f>-B14+C14-D14+E14</f>
        <v>2443.613839708845</v>
      </c>
      <c r="G14">
        <f>F14/((1+$B$1)^((A14-$A$4)/365))</f>
        <v>1727.4152392551068</v>
      </c>
      <c r="H14" s="1">
        <v>49309</v>
      </c>
      <c r="I14">
        <v>0</v>
      </c>
      <c r="J14">
        <v>0</v>
      </c>
      <c r="K14">
        <v>209.9525803398546</v>
      </c>
      <c r="L14">
        <v>470.5716211539767</v>
      </c>
      <c r="M14">
        <v>0</v>
      </c>
      <c r="N14">
        <f>-I14-J14+K14+L14+M14</f>
        <v>680.5242014938312</v>
      </c>
      <c r="O14">
        <f>N14/((1+$D$1)^((H14-$H$4)/365))</f>
        <v>386.1477078940552</v>
      </c>
    </row>
    <row r="15" spans="1:15">
      <c r="A15" s="1">
        <v>49490</v>
      </c>
      <c r="B15">
        <v>0</v>
      </c>
      <c r="C15">
        <v>3606.92716903417</v>
      </c>
      <c r="D15">
        <v>0</v>
      </c>
      <c r="E15">
        <v>0</v>
      </c>
      <c r="F15">
        <f>-B15+C15-D15+E15</f>
        <v>3606.9271690341698</v>
      </c>
      <c r="G15">
        <f>F15/((1+$B$1)^((A15-$A$4)/365))</f>
        <v>2454.2964758763906</v>
      </c>
      <c r="H15" s="1">
        <v>49490</v>
      </c>
      <c r="I15">
        <v>0</v>
      </c>
      <c r="J15">
        <v>0</v>
      </c>
      <c r="K15">
        <v>462.9519994244527</v>
      </c>
      <c r="L15">
        <v>462.8992577655965</v>
      </c>
      <c r="M15">
        <v>0</v>
      </c>
      <c r="N15">
        <f>-I15-J15+K15+L15+M15</f>
        <v>925.8512571900492</v>
      </c>
      <c r="O15">
        <f>N15/((1+$D$1)^((H15-$H$4)/365))</f>
        <v>496.6430493488475</v>
      </c>
    </row>
    <row r="16" spans="1:15">
      <c r="A16" s="1">
        <v>49674</v>
      </c>
      <c r="B16">
        <v>0</v>
      </c>
      <c r="C16">
        <v>3751.428254824757</v>
      </c>
      <c r="D16">
        <v>1264.694339470657</v>
      </c>
      <c r="E16">
        <v>0</v>
      </c>
      <c r="F16">
        <f>-B16+C16-D16+E16</f>
        <v>2486.7339153541006</v>
      </c>
      <c r="G16">
        <f>F16/((1+$B$1)^((A16-$A$4)/365))</f>
        <v>1627.682643613628</v>
      </c>
      <c r="H16" s="1">
        <v>49674</v>
      </c>
      <c r="I16">
        <v>0</v>
      </c>
      <c r="J16">
        <v>0</v>
      </c>
      <c r="K16">
        <v>212.8400725002265</v>
      </c>
      <c r="L16">
        <v>470.5716211539767</v>
      </c>
      <c r="M16">
        <v>0</v>
      </c>
      <c r="N16">
        <f>-I16-J16+K16+L16+M16</f>
        <v>683.4116936542032</v>
      </c>
      <c r="O16">
        <f>N16/((1+$D$1)^((H16-$H$4)/365))</f>
        <v>346.23763258172073</v>
      </c>
    </row>
    <row r="17" spans="1:15">
      <c r="A17" s="1">
        <v>49856</v>
      </c>
      <c r="B17">
        <v>0</v>
      </c>
      <c r="C17">
        <v>3700.513467688414</v>
      </c>
      <c r="D17">
        <v>0</v>
      </c>
      <c r="E17">
        <v>0</v>
      </c>
      <c r="F17">
        <f>-B17+C17-D17+E17</f>
        <v>3700.5134676884136</v>
      </c>
      <c r="G17">
        <f>F17/((1+$B$1)^((A17-$A$4)/365))</f>
        <v>2330.968004604385</v>
      </c>
      <c r="H17" s="1">
        <v>49856</v>
      </c>
      <c r="I17">
        <v>0</v>
      </c>
      <c r="J17">
        <v>0</v>
      </c>
      <c r="K17">
        <v>485.6135808692003</v>
      </c>
      <c r="L17">
        <v>464.1849725774927</v>
      </c>
      <c r="M17">
        <v>0</v>
      </c>
      <c r="N17">
        <f>-I17-J17+K17+L17+M17</f>
        <v>949.798553446693</v>
      </c>
      <c r="O17">
        <f>N17/((1+$D$1)^((H17-$H$4)/365))</f>
        <v>454.7594980014015</v>
      </c>
    </row>
    <row r="18" spans="1:15">
      <c r="A18" s="1">
        <v>50040</v>
      </c>
      <c r="B18">
        <v>0</v>
      </c>
      <c r="C18">
        <v>3827.354469965183</v>
      </c>
      <c r="D18">
        <v>1408.188407624767</v>
      </c>
      <c r="E18">
        <v>0</v>
      </c>
      <c r="F18">
        <f>-B18+C18-D18+E18</f>
        <v>2419.166062340417</v>
      </c>
      <c r="G18">
        <f>F18/((1+$B$1)^((A18-$A$4)/365))</f>
        <v>1465.8541769108588</v>
      </c>
      <c r="H18" s="1">
        <v>50040</v>
      </c>
      <c r="I18">
        <v>0</v>
      </c>
      <c r="J18">
        <v>0</v>
      </c>
      <c r="K18">
        <v>197.253830991886</v>
      </c>
      <c r="L18">
        <v>469.2859063420805</v>
      </c>
      <c r="M18">
        <v>0</v>
      </c>
      <c r="N18">
        <f>-I18-J18+K18+L18+M18</f>
        <v>666.5397373339665</v>
      </c>
      <c r="O18">
        <f>N18/((1+$D$1)^((H18-$H$4)/365))</f>
        <v>301.41512639700704</v>
      </c>
    </row>
    <row r="19" spans="1:15">
      <c r="A19" s="1">
        <v>50221</v>
      </c>
      <c r="B19">
        <v>0</v>
      </c>
      <c r="C19">
        <v>3775.266888286383</v>
      </c>
      <c r="D19">
        <v>0</v>
      </c>
      <c r="E19">
        <v>0</v>
      </c>
      <c r="F19">
        <f>-B19+C19-D19+E19</f>
        <v>3775.266888286383</v>
      </c>
      <c r="G19">
        <f>F19/((1+$B$1)^((A19-$A$4)/365))</f>
        <v>2201.903220918019</v>
      </c>
      <c r="H19" s="1">
        <v>50221</v>
      </c>
      <c r="I19">
        <v>0</v>
      </c>
      <c r="J19">
        <v>0</v>
      </c>
      <c r="K19">
        <v>506.0113556207386</v>
      </c>
      <c r="L19">
        <v>462.8992577655965</v>
      </c>
      <c r="M19">
        <v>0</v>
      </c>
      <c r="N19">
        <f>-I19-J19+K19+L19+M19</f>
        <v>968.9106133863352</v>
      </c>
      <c r="O19">
        <f>N19/((1+$D$1)^((H19-$H$4)/365))</f>
        <v>414.20559894445466</v>
      </c>
    </row>
    <row r="20" spans="1:15">
      <c r="A20" s="1">
        <v>50405</v>
      </c>
      <c r="B20">
        <v>0</v>
      </c>
      <c r="C20">
        <v>3925.980732776445</v>
      </c>
      <c r="D20">
        <v>1550.431661189829</v>
      </c>
      <c r="E20">
        <v>0</v>
      </c>
      <c r="F20">
        <f>-B20+C20-D20+E20</f>
        <v>2375.5490715866163</v>
      </c>
      <c r="G20">
        <f>F20/((1+$B$1)^((A20-$A$4)/365))</f>
        <v>1332.8010865864321</v>
      </c>
      <c r="H20" s="1">
        <v>50405</v>
      </c>
      <c r="I20">
        <v>0</v>
      </c>
      <c r="J20">
        <v>0</v>
      </c>
      <c r="K20">
        <v>184.3613524446823</v>
      </c>
      <c r="L20">
        <v>470.5716211539767</v>
      </c>
      <c r="M20">
        <v>0</v>
      </c>
      <c r="N20">
        <f>-I20-J20+K20+L20+M20</f>
        <v>654.9329735986589</v>
      </c>
      <c r="O20">
        <f>N20/((1+$D$1)^((H20-$H$4)/365))</f>
        <v>264.4343266448389</v>
      </c>
    </row>
    <row r="21" spans="1:15">
      <c r="A21" s="1">
        <v>50586</v>
      </c>
      <c r="B21">
        <v>0</v>
      </c>
      <c r="C21">
        <v>3861.970177350741</v>
      </c>
      <c r="D21">
        <v>0</v>
      </c>
      <c r="E21">
        <v>0</v>
      </c>
      <c r="F21">
        <f>-B21+C21-D21+E21</f>
        <v>3861.9701773507413</v>
      </c>
      <c r="G21">
        <f>F21/((1+$B$1)^((A21-$A$4)/365))</f>
        <v>2085.6226181240154</v>
      </c>
      <c r="H21" s="1">
        <v>50586</v>
      </c>
      <c r="I21">
        <v>0</v>
      </c>
      <c r="J21">
        <v>0</v>
      </c>
      <c r="K21">
        <v>528.189055713123</v>
      </c>
      <c r="L21">
        <v>462.8992577655965</v>
      </c>
      <c r="M21">
        <v>0</v>
      </c>
      <c r="N21">
        <f>-I21-J21+K21+L21+M21</f>
        <v>991.0883134787196</v>
      </c>
      <c r="O21">
        <f>N21/((1+$D$1)^((H21-$H$4)/365))</f>
        <v>378.29150117123925</v>
      </c>
    </row>
    <row r="22" spans="1:15">
      <c r="A22" s="1">
        <v>50770</v>
      </c>
      <c r="B22">
        <v>0</v>
      </c>
      <c r="C22">
        <v>4015.883900133344</v>
      </c>
      <c r="D22">
        <v>1594.585670413626</v>
      </c>
      <c r="E22">
        <v>0</v>
      </c>
      <c r="F22">
        <f>-B22+C22-D22+E22</f>
        <v>2421.2982297197177</v>
      </c>
      <c r="G22">
        <f>F22/((1+$B$1)^((A22-$A$4)/365))</f>
        <v>1257.8413313800659</v>
      </c>
      <c r="H22" s="1">
        <v>50770</v>
      </c>
      <c r="I22">
        <v>0</v>
      </c>
      <c r="J22">
        <v>0</v>
      </c>
      <c r="K22">
        <v>186.4757652368762</v>
      </c>
      <c r="L22">
        <v>470.5716211539767</v>
      </c>
      <c r="M22">
        <v>0</v>
      </c>
      <c r="N22">
        <f>-I22-J22+K22+L22+M22</f>
        <v>657.0473863908528</v>
      </c>
      <c r="O22">
        <f>N22/((1+$D$1)^((H22-$H$4)/365))</f>
        <v>236.86431910643697</v>
      </c>
    </row>
    <row r="23" spans="1:15">
      <c r="A23" s="1">
        <v>50951</v>
      </c>
      <c r="B23">
        <v>0</v>
      </c>
      <c r="C23">
        <v>3950.407532196386</v>
      </c>
      <c r="D23">
        <v>0</v>
      </c>
      <c r="E23">
        <v>0</v>
      </c>
      <c r="F23">
        <f>-B23+C23-D23+E23</f>
        <v>3950.4075321963855</v>
      </c>
      <c r="G23">
        <f>F23/((1+$B$1)^((A23-$A$4)/365))</f>
        <v>1975.3540966760731</v>
      </c>
      <c r="H23" s="1">
        <v>50951</v>
      </c>
      <c r="I23">
        <v>0</v>
      </c>
      <c r="J23">
        <v>0</v>
      </c>
      <c r="K23">
        <v>550.8103098073536</v>
      </c>
      <c r="L23">
        <v>462.8992577655965</v>
      </c>
      <c r="M23">
        <v>0</v>
      </c>
      <c r="N23">
        <f>-I23-J23+K23+L23+M23</f>
        <v>1013.7095675729502</v>
      </c>
      <c r="O23">
        <f>N23/((1+$D$1)^((H23-$H$4)/365))</f>
        <v>345.4695323074516</v>
      </c>
    </row>
    <row r="24" spans="1:15">
      <c r="A24" s="1">
        <v>51135</v>
      </c>
      <c r="B24">
        <v>0</v>
      </c>
      <c r="C24">
        <v>4107.585130837381</v>
      </c>
      <c r="D24">
        <v>1639.610318398953</v>
      </c>
      <c r="E24">
        <v>0</v>
      </c>
      <c r="F24">
        <f>-B24+C24-D24+E24</f>
        <v>2467.974812438428</v>
      </c>
      <c r="G24">
        <f>F24/((1+$B$1)^((A24-$A$4)/365))</f>
        <v>1187.1197877890643</v>
      </c>
      <c r="H24" s="1">
        <v>51135</v>
      </c>
      <c r="I24">
        <v>0</v>
      </c>
      <c r="J24">
        <v>0</v>
      </c>
      <c r="K24">
        <v>188.1644822169982</v>
      </c>
      <c r="L24">
        <v>470.5716211539767</v>
      </c>
      <c r="M24">
        <v>0</v>
      </c>
      <c r="N24">
        <f>-I24-J24+K24+L24+M24</f>
        <v>658.7361033709749</v>
      </c>
      <c r="O24">
        <f>N24/((1+$D$1)^((H24-$H$4)/365))</f>
        <v>212.0295520802606</v>
      </c>
    </row>
    <row r="25" spans="1:15">
      <c r="A25" s="1">
        <v>51317</v>
      </c>
      <c r="B25">
        <v>0</v>
      </c>
      <c r="C25">
        <v>4051.836544332489</v>
      </c>
      <c r="D25">
        <v>0</v>
      </c>
      <c r="E25">
        <v>0</v>
      </c>
      <c r="F25">
        <f>-B25+C25-D25+E25</f>
        <v>4051.8365443324888</v>
      </c>
      <c r="G25">
        <f>F25/((1+$B$1)^((A25-$A$4)/365))</f>
        <v>1875.5975054018486</v>
      </c>
      <c r="H25" s="1">
        <v>51317</v>
      </c>
      <c r="I25">
        <v>0</v>
      </c>
      <c r="J25">
        <v>0</v>
      </c>
      <c r="K25">
        <v>575.4779667930449</v>
      </c>
      <c r="L25">
        <v>464.1849725774927</v>
      </c>
      <c r="M25">
        <v>0</v>
      </c>
      <c r="N25">
        <f>-I25-J25+K25+L25+M25</f>
        <v>1039.6629393705375</v>
      </c>
      <c r="O25">
        <f>N25/((1+$D$1)^((H25-$H$4)/365))</f>
        <v>316.25390960342514</v>
      </c>
    </row>
    <row r="26" spans="1:15">
      <c r="A26" s="1">
        <v>51501</v>
      </c>
      <c r="B26">
        <v>0</v>
      </c>
      <c r="C26">
        <v>4189.641915155073</v>
      </c>
      <c r="D26">
        <v>1685.509142239561</v>
      </c>
      <c r="E26">
        <v>0</v>
      </c>
      <c r="F26">
        <f>-B26+C26-D26+E26</f>
        <v>2504.1327729155114</v>
      </c>
      <c r="G26">
        <f>F26/((1+$B$1)^((A26-$A$4)/365))</f>
        <v>1115.0538608899699</v>
      </c>
      <c r="H26" s="1">
        <v>51501</v>
      </c>
      <c r="I26">
        <v>0</v>
      </c>
      <c r="J26">
        <v>0</v>
      </c>
      <c r="K26">
        <v>187.7683355675136</v>
      </c>
      <c r="L26">
        <v>469.2859063420805</v>
      </c>
      <c r="M26">
        <v>0</v>
      </c>
      <c r="N26">
        <f>-I26-J26+K26+L26+M26</f>
        <v>657.0542419095941</v>
      </c>
      <c r="O26">
        <f>N26/((1+$D$1)^((H26-$H$4)/365))</f>
        <v>188.77013493390777</v>
      </c>
    </row>
    <row r="27" spans="1:15">
      <c r="A27" s="1">
        <v>51682</v>
      </c>
      <c r="B27">
        <v>0</v>
      </c>
      <c r="C27">
        <v>4132.623858120352</v>
      </c>
      <c r="D27">
        <v>0</v>
      </c>
      <c r="E27">
        <v>0</v>
      </c>
      <c r="F27">
        <f>-B27+C27-D27+E27</f>
        <v>4132.623858120352</v>
      </c>
      <c r="G27">
        <f>F27/((1+$B$1)^((A27-$A$4)/365))</f>
        <v>1771.2907409157667</v>
      </c>
      <c r="H27" s="1">
        <v>51682</v>
      </c>
      <c r="I27">
        <v>0</v>
      </c>
      <c r="J27">
        <v>0</v>
      </c>
      <c r="K27">
        <v>6103.222137262611</v>
      </c>
      <c r="L27">
        <v>462.8992577655965</v>
      </c>
      <c r="M27">
        <v>0</v>
      </c>
      <c r="N27">
        <f>-I27-J27+K27+L27+M27</f>
        <v>6566.121395028207</v>
      </c>
      <c r="O27">
        <f>N27/((1+$D$1)^((H27-$H$4)/365))</f>
        <v>1783.3403049199649</v>
      </c>
    </row>
    <row r="28" spans="1:15">
      <c r="A28" s="1">
        <v>51866</v>
      </c>
      <c r="B28">
        <v>0</v>
      </c>
      <c r="C28">
        <v>4296.526346579977</v>
      </c>
      <c r="D28">
        <v>1732.417178838703</v>
      </c>
      <c r="E28">
        <v>0</v>
      </c>
      <c r="F28">
        <f>-B28+C28-D28+E28</f>
        <v>2564.1091677412746</v>
      </c>
      <c r="G28">
        <f>F28/((1+$B$1)^((A28-$A$4)/365))</f>
        <v>1057.1856260967775</v>
      </c>
      <c r="H28" s="1">
        <v>51866</v>
      </c>
      <c r="I28">
        <v>0</v>
      </c>
      <c r="J28">
        <v>0</v>
      </c>
      <c r="K28">
        <v>2330.776610854862</v>
      </c>
      <c r="L28">
        <v>470.5716211539767</v>
      </c>
      <c r="M28">
        <v>0</v>
      </c>
      <c r="N28">
        <f>-I28-J28+K28+L28+M28</f>
        <v>2801.3482320088387</v>
      </c>
      <c r="O28">
        <f>N28/((1+$D$1)^((H28-$H$4)/365))</f>
        <v>718.5899499064235</v>
      </c>
    </row>
    <row r="29" spans="1:15">
      <c r="A29" s="1">
        <v>52047</v>
      </c>
      <c r="B29">
        <v>0</v>
      </c>
      <c r="C29">
        <v>4226.47428658139</v>
      </c>
      <c r="D29">
        <v>0</v>
      </c>
      <c r="E29">
        <v>0</v>
      </c>
      <c r="F29">
        <f>-B29+C29-D29+E29</f>
        <v>4226.47428658139</v>
      </c>
      <c r="G29">
        <f>F29/((1+$B$1)^((A29-$A$4)/365))</f>
        <v>1677.3297482820387</v>
      </c>
      <c r="H29" s="1">
        <v>52047</v>
      </c>
      <c r="I29">
        <v>0</v>
      </c>
      <c r="J29">
        <v>0</v>
      </c>
      <c r="K29">
        <v>3763.575028815793</v>
      </c>
      <c r="L29">
        <v>462.8992577655965</v>
      </c>
      <c r="M29">
        <v>0</v>
      </c>
      <c r="N29">
        <f>-I29-J29+K29+L29+M29</f>
        <v>4226.47428658139</v>
      </c>
      <c r="O29">
        <f>N29/((1+$D$1)^((H29-$H$4)/365))</f>
        <v>1024.9095167989835</v>
      </c>
    </row>
    <row r="30" spans="1:15">
      <c r="A30" s="1">
        <v>52231</v>
      </c>
      <c r="B30">
        <v>0</v>
      </c>
      <c r="C30">
        <v>4393.840426212947</v>
      </c>
      <c r="D30">
        <v>1780.210898415477</v>
      </c>
      <c r="E30">
        <v>0</v>
      </c>
      <c r="F30">
        <f>-B30+C30-D30+E30</f>
        <v>2613.6295277974705</v>
      </c>
      <c r="G30">
        <f>F30/((1+$B$1)^((A30-$A$4)/365))</f>
        <v>997.7804967827404</v>
      </c>
      <c r="H30" s="1">
        <v>52231</v>
      </c>
      <c r="I30">
        <v>0</v>
      </c>
      <c r="J30">
        <v>0</v>
      </c>
      <c r="K30">
        <v>2376.425626373387</v>
      </c>
      <c r="L30">
        <v>470.5716211539767</v>
      </c>
      <c r="M30">
        <v>0</v>
      </c>
      <c r="N30">
        <f>-I30-J30+K30+L30+M30</f>
        <v>2846.9972475273635</v>
      </c>
      <c r="O30">
        <f>N30/((1+$D$1)^((H30-$H$4)/365))</f>
        <v>652.0532513175168</v>
      </c>
    </row>
    <row r="31" spans="1:15">
      <c r="A31" s="1">
        <v>52412</v>
      </c>
      <c r="B31">
        <v>0</v>
      </c>
      <c r="C31">
        <v>4322.201723611647</v>
      </c>
      <c r="D31">
        <v>0</v>
      </c>
      <c r="E31">
        <v>0</v>
      </c>
      <c r="F31">
        <f>-B31+C31-D31+E31</f>
        <v>4322.201723611647</v>
      </c>
      <c r="G31">
        <f>F31/((1+$B$1)^((A31-$A$4)/365))</f>
        <v>1588.2596220147575</v>
      </c>
      <c r="H31" s="1">
        <v>52412</v>
      </c>
      <c r="I31">
        <v>0</v>
      </c>
      <c r="J31">
        <v>0</v>
      </c>
      <c r="K31">
        <v>3859.302465846051</v>
      </c>
      <c r="L31">
        <v>462.8992577655965</v>
      </c>
      <c r="M31">
        <v>0</v>
      </c>
      <c r="N31">
        <f>-I31-J31+K31+L31+M31</f>
        <v>4322.201723611647</v>
      </c>
      <c r="O31">
        <f>N31/((1+$D$1)^((H31-$H$4)/365))</f>
        <v>935.8242700995196</v>
      </c>
    </row>
    <row r="32" spans="1:15">
      <c r="A32" s="1">
        <v>52596</v>
      </c>
      <c r="B32">
        <v>0</v>
      </c>
      <c r="C32">
        <v>4493.100787438575</v>
      </c>
      <c r="D32">
        <v>1829.557933153373</v>
      </c>
      <c r="E32">
        <v>0</v>
      </c>
      <c r="F32">
        <f>-B32+C32-D32+E32</f>
        <v>2663.5428542852023</v>
      </c>
      <c r="G32">
        <f>F32/((1+$B$1)^((A32-$A$4)/365))</f>
        <v>941.5142897267016</v>
      </c>
      <c r="H32" s="1">
        <v>52596</v>
      </c>
      <c r="I32">
        <v>0</v>
      </c>
      <c r="J32">
        <v>0</v>
      </c>
      <c r="K32">
        <v>2426.337205965994</v>
      </c>
      <c r="L32">
        <v>470.5716211539767</v>
      </c>
      <c r="M32">
        <v>0</v>
      </c>
      <c r="N32">
        <f>-I32-J32+K32+L32+M32</f>
        <v>2896.9088271199707</v>
      </c>
      <c r="O32">
        <f>N32/((1+$D$1)^((H32-$H$4)/365))</f>
        <v>592.3969609981646</v>
      </c>
    </row>
    <row r="33" spans="1:15">
      <c r="A33" s="1">
        <v>52778</v>
      </c>
      <c r="B33">
        <v>0</v>
      </c>
      <c r="C33">
        <v>4877.156049525137</v>
      </c>
      <c r="D33">
        <v>0</v>
      </c>
      <c r="E33">
        <v>0</v>
      </c>
      <c r="F33">
        <f>-B33+C33-D33+E33</f>
        <v>4877.156049525137</v>
      </c>
      <c r="G33">
        <f>F33/((1+$B$1)^((A33-$A$4)/365))</f>
        <v>1659.0817533269706</v>
      </c>
      <c r="H33" s="1">
        <v>52778</v>
      </c>
      <c r="I33">
        <v>0</v>
      </c>
      <c r="J33">
        <v>0</v>
      </c>
      <c r="K33">
        <v>4412.971076947644</v>
      </c>
      <c r="L33">
        <v>464.1849725774927</v>
      </c>
      <c r="M33">
        <v>0</v>
      </c>
      <c r="N33">
        <f>-I33-J33+K33+L33+M33</f>
        <v>4877.156049525137</v>
      </c>
      <c r="O33">
        <f>N33/((1+$D$1)^((H33-$H$4)/365))</f>
        <v>942.5470900157056</v>
      </c>
    </row>
    <row r="34" spans="1:15">
      <c r="A34" s="1">
        <v>52962</v>
      </c>
      <c r="B34">
        <v>0</v>
      </c>
      <c r="C34">
        <v>5040.718644465821</v>
      </c>
      <c r="D34">
        <v>2104.634042572031</v>
      </c>
      <c r="E34">
        <v>0</v>
      </c>
      <c r="F34">
        <f>-B34+C34-D34+E34</f>
        <v>2936.08460189379</v>
      </c>
      <c r="G34">
        <f>F34/((1+$B$1)^((A34-$A$4)/365))</f>
        <v>960.7722818168593</v>
      </c>
      <c r="H34" s="1">
        <v>52962</v>
      </c>
      <c r="I34">
        <v>0</v>
      </c>
      <c r="J34">
        <v>0</v>
      </c>
      <c r="K34">
        <v>2700.168162176727</v>
      </c>
      <c r="L34">
        <v>469.2859063420805</v>
      </c>
      <c r="M34">
        <v>0</v>
      </c>
      <c r="N34">
        <f>-I34-J34+K34+L34+M34</f>
        <v>3169.454068518808</v>
      </c>
      <c r="O34">
        <f>N34/((1+$D$1)^((H34-$H$4)/365))</f>
        <v>578.5082951837426</v>
      </c>
    </row>
    <row r="35" spans="1:15">
      <c r="A35" s="1">
        <v>53143</v>
      </c>
      <c r="B35">
        <v>0</v>
      </c>
      <c r="C35">
        <v>4972.118036350248</v>
      </c>
      <c r="D35">
        <v>0</v>
      </c>
      <c r="E35">
        <v>0</v>
      </c>
      <c r="F35">
        <f>-B35+C35-D35+E35</f>
        <v>4972.118036350248</v>
      </c>
      <c r="G35">
        <f>F35/((1+$B$1)^((A35-$A$4)/365))</f>
        <v>1566.0975496501658</v>
      </c>
      <c r="H35" s="1">
        <v>53143</v>
      </c>
      <c r="I35">
        <v>0</v>
      </c>
      <c r="J35">
        <v>0</v>
      </c>
      <c r="K35">
        <v>4509.218778584652</v>
      </c>
      <c r="L35">
        <v>462.8992577655965</v>
      </c>
      <c r="M35">
        <v>0</v>
      </c>
      <c r="N35">
        <f>-I35-J35+K35+L35+M35</f>
        <v>4972.118036350248</v>
      </c>
      <c r="O35">
        <f>N35/((1+$D$1)^((H35-$H$4)/365))</f>
        <v>857.9457216291088</v>
      </c>
    </row>
    <row r="36" spans="1:15">
      <c r="A36" s="1">
        <v>53327</v>
      </c>
      <c r="B36">
        <v>0</v>
      </c>
      <c r="C36">
        <v>5167.002961884878</v>
      </c>
      <c r="D36">
        <v>2159.933067669314</v>
      </c>
      <c r="E36">
        <v>0</v>
      </c>
      <c r="F36">
        <f>-B36+C36-D36+E36</f>
        <v>3007.069894215564</v>
      </c>
      <c r="G36">
        <f>F36/((1+$B$1)^((A36-$A$4)/365))</f>
        <v>911.1117908980054</v>
      </c>
      <c r="H36" s="1">
        <v>53327</v>
      </c>
      <c r="I36">
        <v>0</v>
      </c>
      <c r="J36">
        <v>0</v>
      </c>
      <c r="K36">
        <v>2769.86599279148</v>
      </c>
      <c r="L36">
        <v>470.5716211539767</v>
      </c>
      <c r="M36">
        <v>0</v>
      </c>
      <c r="N36">
        <f>-I36-J36+K36+L36+M36</f>
        <v>3240.437613945457</v>
      </c>
      <c r="O36">
        <f>N36/((1+$D$1)^((H36-$H$4)/365))</f>
        <v>528.0934370394959</v>
      </c>
    </row>
    <row r="37" spans="1:15">
      <c r="A37" s="1">
        <v>53508</v>
      </c>
      <c r="B37">
        <v>0</v>
      </c>
      <c r="C37">
        <v>5082.758348375884</v>
      </c>
      <c r="D37">
        <v>0</v>
      </c>
      <c r="E37">
        <v>0</v>
      </c>
      <c r="F37">
        <f>-B37+C37-D37+E37</f>
        <v>5082.7583483758835</v>
      </c>
      <c r="G37">
        <f>F37/((1+$B$1)^((A37-$A$4)/365))</f>
        <v>1482.3579498829474</v>
      </c>
      <c r="H37" s="1">
        <v>53508</v>
      </c>
      <c r="I37">
        <v>0</v>
      </c>
      <c r="J37">
        <v>0</v>
      </c>
      <c r="K37">
        <v>4619.859090610287</v>
      </c>
      <c r="L37">
        <v>462.8992577655965</v>
      </c>
      <c r="M37">
        <v>0</v>
      </c>
      <c r="N37">
        <f>-I37-J37+K37+L37+M37</f>
        <v>5082.7583483758835</v>
      </c>
      <c r="O37">
        <f>N37/((1+$D$1)^((H37-$H$4)/365))</f>
        <v>783.0686230092087</v>
      </c>
    </row>
    <row r="38" spans="1:15">
      <c r="A38" s="1">
        <v>53692</v>
      </c>
      <c r="B38">
        <v>0</v>
      </c>
      <c r="C38">
        <v>5281.726573823946</v>
      </c>
      <c r="D38">
        <v>2216.277105022701</v>
      </c>
      <c r="E38">
        <v>0</v>
      </c>
      <c r="F38">
        <f>-B38+C38-D38+E38</f>
        <v>3065.449468801245</v>
      </c>
      <c r="G38">
        <f>F38/((1+$B$1)^((A38-$A$4)/365))</f>
        <v>860.0001963519086</v>
      </c>
      <c r="H38" s="1">
        <v>53692</v>
      </c>
      <c r="I38">
        <v>0</v>
      </c>
      <c r="J38">
        <v>0</v>
      </c>
      <c r="K38">
        <v>0</v>
      </c>
      <c r="L38">
        <v>470.5716211539767</v>
      </c>
      <c r="M38">
        <v>2828.090603508476</v>
      </c>
      <c r="N38">
        <f>-I38-J38+K38+L38+M38</f>
        <v>3298.662224662453</v>
      </c>
      <c r="O38">
        <f>N38/((1+$D$1)^((H38-$H$4)/365))</f>
        <v>479.98418715486645</v>
      </c>
    </row>
    <row r="39" spans="1:15">
      <c r="A39" s="1">
        <v>53873</v>
      </c>
      <c r="B39">
        <v>0</v>
      </c>
      <c r="C39">
        <v>5195.611466642032</v>
      </c>
      <c r="D39">
        <v>0</v>
      </c>
      <c r="E39">
        <v>0</v>
      </c>
      <c r="F39">
        <f>-B39+C39-D39+E39</f>
        <v>5195.611466642032</v>
      </c>
      <c r="G39">
        <f>F39/((1+$B$1)^((A39-$A$4)/365))</f>
        <v>1403.0286375355533</v>
      </c>
      <c r="H39" s="1">
        <v>53873</v>
      </c>
      <c r="I39">
        <v>0</v>
      </c>
      <c r="J39">
        <v>0</v>
      </c>
      <c r="K39">
        <v>0</v>
      </c>
      <c r="L39">
        <v>350.7054168373699</v>
      </c>
      <c r="M39">
        <v>4844.906049804662</v>
      </c>
      <c r="N39">
        <f>-I39-J39+K39+L39+M39</f>
        <v>5195.611466642032</v>
      </c>
      <c r="O39">
        <f>N39/((1+$D$1)^((H39-$H$4)/365))</f>
        <v>714.6921369852862</v>
      </c>
    </row>
    <row r="40" spans="1:15">
      <c r="A40" s="1">
        <v>54057</v>
      </c>
      <c r="B40">
        <v>0</v>
      </c>
      <c r="C40">
        <v>5398.744658001794</v>
      </c>
      <c r="D40">
        <v>2273.730788550385</v>
      </c>
      <c r="E40">
        <v>0</v>
      </c>
      <c r="F40">
        <f>-B40+C40-D40+E40</f>
        <v>3125.0138694514094</v>
      </c>
      <c r="G40">
        <f>F40/((1+$B$1)^((A40-$A$4)/365))</f>
        <v>811.7692245771163</v>
      </c>
      <c r="H40" s="1">
        <v>54057</v>
      </c>
      <c r="I40">
        <v>0</v>
      </c>
      <c r="J40">
        <v>0</v>
      </c>
      <c r="K40">
        <v>0</v>
      </c>
      <c r="L40">
        <v>161.1291259847453</v>
      </c>
      <c r="M40">
        <v>3091.408377291622</v>
      </c>
      <c r="N40">
        <f>-I40-J40+K40+L40+M40</f>
        <v>3252.5375032763673</v>
      </c>
      <c r="O40">
        <f>N40/((1+$D$1)^((H40-$H$4)/365))</f>
        <v>422.5648544812137</v>
      </c>
    </row>
    <row r="41" spans="1:15">
      <c r="A41" s="1">
        <v>54239</v>
      </c>
      <c r="B41">
        <v>0</v>
      </c>
      <c r="C41">
        <v>5325.472315737989</v>
      </c>
      <c r="D41">
        <v>0</v>
      </c>
      <c r="E41">
        <v>0</v>
      </c>
      <c r="F41">
        <f>-B41+C41-D41+E41</f>
        <v>5325.4723157379885</v>
      </c>
      <c r="G41">
        <f>F41/((1+$B$1)^((A41-$A$4)/365))</f>
        <v>1331.2900095758337</v>
      </c>
      <c r="H41" s="1">
        <v>54239</v>
      </c>
      <c r="I41">
        <v>0</v>
      </c>
      <c r="J41">
        <v>0</v>
      </c>
      <c r="K41">
        <v>4385.529713078257</v>
      </c>
      <c r="L41">
        <v>35.96164676982785</v>
      </c>
      <c r="M41">
        <v>903.9809558899033</v>
      </c>
      <c r="N41">
        <f>-I41-J41+K41+L41+M41</f>
        <v>5325.4723157379885</v>
      </c>
      <c r="O41">
        <f>N41/((1+$D$1)^((H41-$H$4)/365))</f>
        <v>653.8642639138283</v>
      </c>
    </row>
    <row r="42" spans="1:15">
      <c r="A42" s="1">
        <v>54423</v>
      </c>
      <c r="B42">
        <v>0</v>
      </c>
      <c r="C42">
        <v>5503.026319426414</v>
      </c>
      <c r="D42">
        <v>2332.304065165313</v>
      </c>
      <c r="E42">
        <v>0</v>
      </c>
      <c r="F42">
        <f>-B42+C42-D42+E42</f>
        <v>3170.7222542611016</v>
      </c>
      <c r="G42">
        <f>F42/((1+$B$1)^((A42-$A$4)/365))</f>
        <v>762.4713097935776</v>
      </c>
      <c r="H42" s="1">
        <v>54423</v>
      </c>
      <c r="I42">
        <v>0</v>
      </c>
      <c r="J42">
        <v>0</v>
      </c>
      <c r="K42">
        <v>3179.663268087117</v>
      </c>
      <c r="L42">
        <v>0</v>
      </c>
      <c r="M42">
        <v>0</v>
      </c>
      <c r="N42">
        <f>-I42-J42+K42+L42+M42</f>
        <v>3179.6632680871166</v>
      </c>
      <c r="O42">
        <f>N42/((1+$D$1)^((H42-$H$4)/365))</f>
        <v>368.7222315696313</v>
      </c>
    </row>
    <row r="43" spans="1:15">
      <c r="A43" s="1">
        <v>54604</v>
      </c>
      <c r="B43">
        <v>0</v>
      </c>
      <c r="C43">
        <v>5428.134031517602</v>
      </c>
      <c r="D43">
        <v>0</v>
      </c>
      <c r="E43">
        <v>0</v>
      </c>
      <c r="F43">
        <f>-B43+C43-D43+E43</f>
        <v>5428.134031517602</v>
      </c>
      <c r="G43">
        <f>F43/((1+$B$1)^((A43-$A$4)/365))</f>
        <v>1256.4388273516677</v>
      </c>
      <c r="H43" s="1">
        <v>54604</v>
      </c>
      <c r="I43">
        <v>0</v>
      </c>
      <c r="J43">
        <v>0</v>
      </c>
      <c r="K43">
        <v>5428.134031517602</v>
      </c>
      <c r="L43">
        <v>0</v>
      </c>
      <c r="M43">
        <v>0</v>
      </c>
      <c r="N43">
        <f>-I43-J43+K43+L43+M43</f>
        <v>5428.134031517602</v>
      </c>
      <c r="O43">
        <f>N43/((1+$D$1)^((H43-$H$4)/365))</f>
        <v>595.0617168156037</v>
      </c>
    </row>
    <row r="44" spans="1:15">
      <c r="A44" s="1">
        <v>54788</v>
      </c>
      <c r="B44">
        <v>0</v>
      </c>
      <c r="C44">
        <v>5639.848718641833</v>
      </c>
      <c r="D44">
        <v>2392.16110277733</v>
      </c>
      <c r="E44">
        <v>0</v>
      </c>
      <c r="F44">
        <f>-B44+C44-D44+E44</f>
        <v>3247.6876158645036</v>
      </c>
      <c r="G44">
        <f>F44/((1+$B$1)^((A44-$A$4)/365))</f>
        <v>723.1290351090959</v>
      </c>
      <c r="H44" s="1">
        <v>54788</v>
      </c>
      <c r="I44">
        <v>0</v>
      </c>
      <c r="J44">
        <v>0</v>
      </c>
      <c r="K44">
        <v>3247.687615864504</v>
      </c>
      <c r="L44">
        <v>0</v>
      </c>
      <c r="M44">
        <v>0</v>
      </c>
      <c r="N44">
        <f>-I44-J44+K44+L44+M44</f>
        <v>3247.6876158645036</v>
      </c>
      <c r="O44">
        <f>N44/((1+$D$1)^((H44-$H$4)/365))</f>
        <v>336.25938958394886</v>
      </c>
    </row>
    <row r="45" spans="1:15">
      <c r="A45" s="1">
        <v>54969</v>
      </c>
      <c r="B45">
        <v>0</v>
      </c>
      <c r="C45">
        <v>5547.894663446586</v>
      </c>
      <c r="D45">
        <v>0</v>
      </c>
      <c r="E45">
        <v>0</v>
      </c>
      <c r="F45">
        <f>-B45+C45-D45+E45</f>
        <v>5547.8946634465865</v>
      </c>
      <c r="G45">
        <f>F45/((1+$B$1)^((A45-$A$4)/365))</f>
        <v>1189.0366391269138</v>
      </c>
      <c r="H45" s="1">
        <v>54969</v>
      </c>
      <c r="I45">
        <v>0</v>
      </c>
      <c r="J45">
        <v>0</v>
      </c>
      <c r="K45">
        <v>5547.894663446586</v>
      </c>
      <c r="L45">
        <v>0</v>
      </c>
      <c r="M45">
        <v>0</v>
      </c>
      <c r="N45">
        <f>-I45-J45+K45+L45+M45</f>
        <v>5547.8946634465865</v>
      </c>
      <c r="O45">
        <f>N45/((1+$D$1)^((H45-$H$4)/365))</f>
        <v>543.0272605081271</v>
      </c>
    </row>
    <row r="46" spans="1:15">
      <c r="A46" s="1">
        <v>55153</v>
      </c>
      <c r="B46">
        <v>0</v>
      </c>
      <c r="C46">
        <v>5764.02924571604</v>
      </c>
      <c r="D46">
        <v>2453.149700832877</v>
      </c>
      <c r="E46">
        <v>0</v>
      </c>
      <c r="F46">
        <f>-B46+C46-D46+E46</f>
        <v>3310.8795448831634</v>
      </c>
      <c r="G46">
        <f>F46/((1+$B$1)^((A46-$A$4)/365))</f>
        <v>682.5919711357498</v>
      </c>
      <c r="H46" s="1">
        <v>55153</v>
      </c>
      <c r="I46">
        <v>0</v>
      </c>
      <c r="J46">
        <v>0</v>
      </c>
      <c r="K46">
        <v>3310.879544883163</v>
      </c>
      <c r="L46">
        <v>0</v>
      </c>
      <c r="M46">
        <v>0</v>
      </c>
      <c r="N46">
        <f>-I46-J46+K46+L46+M46</f>
        <v>3310.8795448831634</v>
      </c>
      <c r="O46">
        <f>N46/((1+$D$1)^((H46-$H$4)/365))</f>
        <v>306.07335852427764</v>
      </c>
    </row>
    <row r="47" spans="1:15">
      <c r="A47" s="1">
        <v>55334</v>
      </c>
      <c r="B47">
        <v>0</v>
      </c>
      <c r="C47">
        <v>5670.050508014147</v>
      </c>
      <c r="D47">
        <v>0</v>
      </c>
      <c r="E47">
        <v>0</v>
      </c>
      <c r="F47">
        <f>-B47+C47-D47+E47</f>
        <v>5670.0505080141465</v>
      </c>
      <c r="G47">
        <f>F47/((1+$B$1)^((A47-$A$4)/365))</f>
        <v>1125.20124144425</v>
      </c>
      <c r="H47" s="1">
        <v>55334</v>
      </c>
      <c r="I47">
        <v>0</v>
      </c>
      <c r="J47">
        <v>0</v>
      </c>
      <c r="K47">
        <v>5670.050508014147</v>
      </c>
      <c r="L47">
        <v>0</v>
      </c>
      <c r="M47">
        <v>0</v>
      </c>
      <c r="N47">
        <f>-I47-J47+K47+L47+M47</f>
        <v>5670.0505080141465</v>
      </c>
      <c r="O47">
        <f>N47/((1+$D$1)^((H47-$H$4)/365))</f>
        <v>495.5213034292654</v>
      </c>
    </row>
    <row r="48" spans="1:15">
      <c r="A48" s="1">
        <v>55518</v>
      </c>
      <c r="B48">
        <v>0</v>
      </c>
      <c r="C48">
        <v>5890.693383331732</v>
      </c>
      <c r="D48">
        <v>2515.339010023775</v>
      </c>
      <c r="E48">
        <v>0</v>
      </c>
      <c r="F48">
        <f>-B48+C48-D48+E48</f>
        <v>3375.354373307957</v>
      </c>
      <c r="G48">
        <f>F48/((1+$B$1)^((A48-$A$4)/365))</f>
        <v>644.3375107129148</v>
      </c>
      <c r="H48" s="1">
        <v>55518</v>
      </c>
      <c r="I48">
        <v>0</v>
      </c>
      <c r="J48">
        <v>0</v>
      </c>
      <c r="K48">
        <v>3375.354373307957</v>
      </c>
      <c r="L48">
        <v>0</v>
      </c>
      <c r="M48">
        <v>0</v>
      </c>
      <c r="N48">
        <f>-I48-J48+K48+L48+M48</f>
        <v>3375.354373307957</v>
      </c>
      <c r="O48">
        <f>N48/((1+$D$1)^((H48-$H$4)/365))</f>
        <v>278.6015325823424</v>
      </c>
    </row>
    <row r="49" spans="1:15">
      <c r="A49" s="1">
        <v>55700</v>
      </c>
      <c r="B49">
        <v>0</v>
      </c>
      <c r="C49">
        <v>5810.744260137902</v>
      </c>
      <c r="D49">
        <v>0</v>
      </c>
      <c r="E49">
        <v>0</v>
      </c>
      <c r="F49">
        <f>-B49+C49-D49+E49</f>
        <v>5810.744260137902</v>
      </c>
      <c r="G49">
        <f>F49/((1+$B$1)^((A49-$A$4)/365))</f>
        <v>1067.4799081213773</v>
      </c>
      <c r="H49" s="1">
        <v>55700</v>
      </c>
      <c r="I49">
        <v>0</v>
      </c>
      <c r="J49">
        <v>0</v>
      </c>
      <c r="K49">
        <v>5810.744260137902</v>
      </c>
      <c r="L49">
        <v>0</v>
      </c>
      <c r="M49">
        <v>0</v>
      </c>
      <c r="N49">
        <f>-I49-J49+K49+L49+M49</f>
        <v>5810.744260137902</v>
      </c>
      <c r="O49">
        <f>N49/((1+$D$1)^((H49-$H$4)/365))</f>
        <v>453.2672052569862</v>
      </c>
    </row>
    <row r="50" spans="1:15">
      <c r="A50" s="1">
        <v>55884</v>
      </c>
      <c r="B50">
        <v>0</v>
      </c>
      <c r="C50">
        <v>6003.443014618588</v>
      </c>
      <c r="D50">
        <v>2578.741419488208</v>
      </c>
      <c r="E50">
        <v>0</v>
      </c>
      <c r="F50">
        <f>-B50+C50-D50+E50</f>
        <v>3424.7015951303797</v>
      </c>
      <c r="G50">
        <f>F50/((1+$B$1)^((A50-$A$4)/365))</f>
        <v>605.2035238828746</v>
      </c>
      <c r="H50" s="1">
        <v>55884</v>
      </c>
      <c r="I50">
        <v>0</v>
      </c>
      <c r="J50">
        <v>0</v>
      </c>
      <c r="K50">
        <v>3424.70159513038</v>
      </c>
      <c r="L50">
        <v>0</v>
      </c>
      <c r="M50">
        <v>0</v>
      </c>
      <c r="N50">
        <f>-I50-J50+K50+L50+M50</f>
        <v>3424.7015951303797</v>
      </c>
      <c r="O50">
        <f>N50/((1+$D$1)^((H50-$H$4)/365))</f>
        <v>252.30972785101315</v>
      </c>
    </row>
    <row r="51" spans="1:15">
      <c r="A51" s="1">
        <v>56065</v>
      </c>
      <c r="B51">
        <v>0</v>
      </c>
      <c r="C51">
        <v>5921.740410161152</v>
      </c>
      <c r="D51">
        <v>0</v>
      </c>
      <c r="E51">
        <v>0</v>
      </c>
      <c r="F51">
        <f>-B51+C51-D51+E51</f>
        <v>5921.740410161152</v>
      </c>
      <c r="G51">
        <f>F51/((1+$B$1)^((A51-$A$4)/365))</f>
        <v>1007.2877621754299</v>
      </c>
      <c r="H51" s="1">
        <v>56065</v>
      </c>
      <c r="I51">
        <v>0</v>
      </c>
      <c r="J51">
        <v>0</v>
      </c>
      <c r="K51">
        <v>5921.740410161152</v>
      </c>
      <c r="L51">
        <v>0</v>
      </c>
      <c r="M51">
        <v>0</v>
      </c>
      <c r="N51">
        <f>-I51-J51+K51+L51+M51</f>
        <v>5921.740410161152</v>
      </c>
      <c r="O51">
        <f>N51/((1+$D$1)^((H51-$H$4)/365))</f>
        <v>412.43344806724525</v>
      </c>
    </row>
    <row r="52" spans="1:15">
      <c r="A52" s="1">
        <v>56249</v>
      </c>
      <c r="B52">
        <v>0</v>
      </c>
      <c r="C52">
        <v>6151.672172475101</v>
      </c>
      <c r="D52">
        <v>2643.532196431856</v>
      </c>
      <c r="E52">
        <v>0</v>
      </c>
      <c r="F52">
        <f>-B52+C52-D52+E52</f>
        <v>3508.1399760432446</v>
      </c>
      <c r="G52">
        <f>F52/((1+$B$1)^((A52-$A$4)/365))</f>
        <v>574.0264048208173</v>
      </c>
      <c r="H52" s="1">
        <v>56249</v>
      </c>
      <c r="I52">
        <v>0</v>
      </c>
      <c r="J52">
        <v>0</v>
      </c>
      <c r="K52">
        <v>3508.139976043245</v>
      </c>
      <c r="L52">
        <v>0</v>
      </c>
      <c r="M52">
        <v>0</v>
      </c>
      <c r="N52">
        <f>-I52-J52+K52+L52+M52</f>
        <v>3508.1399760432446</v>
      </c>
      <c r="O52">
        <f>N52/((1+$D$1)^((H52-$H$4)/365))</f>
        <v>230.7651114243162</v>
      </c>
    </row>
    <row r="53" spans="1:15">
      <c r="A53" s="1">
        <v>56430</v>
      </c>
      <c r="B53">
        <v>0</v>
      </c>
      <c r="C53">
        <v>6051.373169663004</v>
      </c>
      <c r="D53">
        <v>0</v>
      </c>
      <c r="E53">
        <v>0</v>
      </c>
      <c r="F53">
        <f>-B53+C53-D53+E53</f>
        <v>6051.373169663004</v>
      </c>
      <c r="G53">
        <f>F53/((1+$B$1)^((A53-$A$4)/365))</f>
        <v>953.0910077799498</v>
      </c>
      <c r="H53" s="1">
        <v>56430</v>
      </c>
      <c r="I53">
        <v>0</v>
      </c>
      <c r="J53">
        <v>0</v>
      </c>
      <c r="K53">
        <v>6051.373169663004</v>
      </c>
      <c r="L53">
        <v>0</v>
      </c>
      <c r="M53">
        <v>0</v>
      </c>
      <c r="N53">
        <f>-I53-J53+K53+L53+M53</f>
        <v>6051.373169663004</v>
      </c>
      <c r="O53">
        <f>N53/((1+$D$1)^((H53-$H$4)/365))</f>
        <v>376.3053790292782</v>
      </c>
    </row>
    <row r="54" spans="1:15">
      <c r="A54" s="1">
        <v>56614</v>
      </c>
      <c r="B54">
        <v>0</v>
      </c>
      <c r="C54">
        <v>6286.089168625973</v>
      </c>
      <c r="D54">
        <v>2709.548216360493</v>
      </c>
      <c r="E54">
        <v>0</v>
      </c>
      <c r="F54">
        <f>-B54+C54-D54+E54</f>
        <v>3576.54095226548</v>
      </c>
      <c r="G54">
        <f>F54/((1+$B$1)^((A54-$A$4)/365))</f>
        <v>541.8691213554645</v>
      </c>
      <c r="H54" s="1">
        <v>56614</v>
      </c>
      <c r="I54">
        <v>0</v>
      </c>
      <c r="J54">
        <v>0</v>
      </c>
      <c r="K54">
        <v>3576.54095226548</v>
      </c>
      <c r="L54">
        <v>0</v>
      </c>
      <c r="M54">
        <v>0</v>
      </c>
      <c r="N54">
        <f>-I54-J54+K54+L54+M54</f>
        <v>3576.54095226548</v>
      </c>
      <c r="O54">
        <f>N54/((1+$D$1)^((H54-$H$4)/365))</f>
        <v>210.05760811166212</v>
      </c>
    </row>
    <row r="55" spans="1:15">
      <c r="A55" s="1">
        <v>56795</v>
      </c>
      <c r="B55">
        <v>0</v>
      </c>
      <c r="C55">
        <v>6183.598584354895</v>
      </c>
      <c r="D55">
        <v>0</v>
      </c>
      <c r="E55">
        <v>0</v>
      </c>
      <c r="F55">
        <f>-B55+C55-D55+E55</f>
        <v>6183.598584354895</v>
      </c>
      <c r="G55">
        <f>F55/((1+$B$1)^((A55-$A$4)/365))</f>
        <v>901.7745414555901</v>
      </c>
      <c r="H55" s="1">
        <v>56795</v>
      </c>
      <c r="I55">
        <v>0</v>
      </c>
      <c r="J55">
        <v>0</v>
      </c>
      <c r="K55">
        <v>6183.598584354895</v>
      </c>
      <c r="L55">
        <v>0</v>
      </c>
      <c r="M55">
        <v>0</v>
      </c>
      <c r="N55">
        <f>-I55-J55+K55+L55+M55</f>
        <v>6183.598584354895</v>
      </c>
      <c r="O55">
        <f>N55/((1+$D$1)^((H55-$H$4)/365))</f>
        <v>343.32842194455435</v>
      </c>
    </row>
    <row r="56" spans="1:15">
      <c r="A56" s="1">
        <v>56979</v>
      </c>
      <c r="B56">
        <v>0</v>
      </c>
      <c r="C56">
        <v>6423.194504699863</v>
      </c>
      <c r="D56">
        <v>2776.863519066975</v>
      </c>
      <c r="E56">
        <v>0</v>
      </c>
      <c r="F56">
        <f>-B56+C56-D56+E56</f>
        <v>3646.3309856328874</v>
      </c>
      <c r="G56">
        <f>F56/((1+$B$1)^((A56-$A$4)/365))</f>
        <v>511.5210772929735</v>
      </c>
      <c r="H56" s="1">
        <v>56979</v>
      </c>
      <c r="I56">
        <v>0</v>
      </c>
      <c r="J56">
        <v>0</v>
      </c>
      <c r="K56">
        <v>3646.330985632887</v>
      </c>
      <c r="L56">
        <v>0</v>
      </c>
      <c r="M56">
        <v>0</v>
      </c>
      <c r="N56">
        <f>-I56-J56+K56+L56+M56</f>
        <v>3646.3309856328874</v>
      </c>
      <c r="O56">
        <f>N56/((1+$D$1)^((H56-$H$4)/365))</f>
        <v>191.2111788836872</v>
      </c>
    </row>
    <row r="57" spans="1:15">
      <c r="A57" s="1">
        <v>57161</v>
      </c>
      <c r="B57">
        <v>0</v>
      </c>
      <c r="C57">
        <v>6336.018219102099</v>
      </c>
      <c r="D57">
        <v>0</v>
      </c>
      <c r="E57">
        <v>0</v>
      </c>
      <c r="F57">
        <f>-B57+C57-D57+E57</f>
        <v>6336.0182191020995</v>
      </c>
      <c r="G57">
        <f>F57/((1+$B$1)^((A57-$A$4)/365))</f>
        <v>855.377399326181</v>
      </c>
      <c r="H57" s="1">
        <v>57161</v>
      </c>
      <c r="I57">
        <v>0</v>
      </c>
      <c r="J57">
        <v>0</v>
      </c>
      <c r="K57">
        <v>6336.018219102099</v>
      </c>
      <c r="L57">
        <v>0</v>
      </c>
      <c r="M57">
        <v>0</v>
      </c>
      <c r="N57">
        <f>-I57-J57+K57+L57+M57</f>
        <v>6336.0182191020995</v>
      </c>
      <c r="O57">
        <f>N57/((1+$D$1)^((H57-$H$4)/365))</f>
        <v>314.00171427711365</v>
      </c>
    </row>
    <row r="58" spans="1:15">
      <c r="A58" s="1">
        <v>57345</v>
      </c>
      <c r="B58">
        <v>0</v>
      </c>
      <c r="C58">
        <v>6545.110138895516</v>
      </c>
      <c r="D58">
        <v>2997.134727171991</v>
      </c>
      <c r="E58">
        <v>0</v>
      </c>
      <c r="F58">
        <f>-B58+C58-D58+E58</f>
        <v>3547.9754117235243</v>
      </c>
      <c r="G58">
        <f>F58/((1+$B$1)^((A58-$A$4)/365))</f>
        <v>460.75782505051245</v>
      </c>
      <c r="H58" s="1">
        <v>57345</v>
      </c>
      <c r="I58">
        <v>0</v>
      </c>
      <c r="J58">
        <v>0</v>
      </c>
      <c r="K58">
        <v>3547.975411723524</v>
      </c>
      <c r="L58">
        <v>0</v>
      </c>
      <c r="M58">
        <v>0</v>
      </c>
      <c r="N58">
        <f>-I58-J58+K58+L58+M58</f>
        <v>3547.9754117235243</v>
      </c>
      <c r="O58">
        <f>N58/((1+$D$1)^((H58-$H$4)/365))</f>
        <v>166.0676063549501</v>
      </c>
    </row>
    <row r="59" spans="1:15">
      <c r="A59" s="1">
        <v>57526</v>
      </c>
      <c r="B59">
        <v>0</v>
      </c>
      <c r="C59">
        <v>6456.035828786066</v>
      </c>
      <c r="D59">
        <v>0</v>
      </c>
      <c r="E59">
        <v>0</v>
      </c>
      <c r="F59">
        <f>-B59+C59-D59+E59</f>
        <v>6456.035828786066</v>
      </c>
      <c r="G59">
        <f>F59/((1+$B$1)^((A59-$A$4)/365))</f>
        <v>807.0185737259131</v>
      </c>
      <c r="H59" s="1">
        <v>57526</v>
      </c>
      <c r="I59">
        <v>0</v>
      </c>
      <c r="J59">
        <v>0</v>
      </c>
      <c r="K59">
        <v>6456.035828786066</v>
      </c>
      <c r="L59">
        <v>0</v>
      </c>
      <c r="M59">
        <v>0</v>
      </c>
      <c r="N59">
        <f>-I59-J59+K59+L59+M59</f>
        <v>6456.035828786066</v>
      </c>
      <c r="O59">
        <f>N59/((1+$D$1)^((H59-$H$4)/365))</f>
        <v>285.6692607547815</v>
      </c>
    </row>
    <row r="60" spans="1:15">
      <c r="A60" s="1">
        <v>57710</v>
      </c>
      <c r="B60">
        <v>0</v>
      </c>
      <c r="C60">
        <v>6705.686339146505</v>
      </c>
      <c r="D60">
        <v>3215.624352297886</v>
      </c>
      <c r="E60">
        <v>0</v>
      </c>
      <c r="F60">
        <f>-B60+C60-D60+E60</f>
        <v>3490.0619868486187</v>
      </c>
      <c r="G60">
        <f>F60/((1+$B$1)^((A60-$A$4)/365))</f>
        <v>419.66379459111045</v>
      </c>
      <c r="H60" s="1">
        <v>57710</v>
      </c>
      <c r="I60">
        <v>0</v>
      </c>
      <c r="J60">
        <v>0</v>
      </c>
      <c r="K60">
        <v>3490.061986848619</v>
      </c>
      <c r="L60">
        <v>0</v>
      </c>
      <c r="M60">
        <v>0</v>
      </c>
      <c r="N60">
        <f>-I60-J60+K60+L60+M60</f>
        <v>3490.0619868486187</v>
      </c>
      <c r="O60">
        <f>N60/((1+$D$1)^((H60-$H$4)/365))</f>
        <v>145.85436887250464</v>
      </c>
    </row>
    <row r="61" spans="1:15">
      <c r="A61" s="1">
        <v>57891</v>
      </c>
      <c r="B61">
        <v>0</v>
      </c>
      <c r="C61">
        <v>6596.354496660418</v>
      </c>
      <c r="D61">
        <v>1602.991335921401</v>
      </c>
      <c r="E61">
        <v>0</v>
      </c>
      <c r="F61">
        <f>-B61+C61-D61+E61</f>
        <v>4993.363160739016</v>
      </c>
      <c r="G61">
        <f>F61/((1+$B$1)^((A61-$A$4)/365))</f>
        <v>577.9456452247933</v>
      </c>
      <c r="H61" s="1">
        <v>57891</v>
      </c>
      <c r="I61">
        <v>0</v>
      </c>
      <c r="J61">
        <v>0</v>
      </c>
      <c r="K61">
        <v>4993.363160739016</v>
      </c>
      <c r="L61">
        <v>0</v>
      </c>
      <c r="M61">
        <v>0</v>
      </c>
      <c r="N61">
        <f>-I61-J61+K61+L61+M61</f>
        <v>4993.363160739016</v>
      </c>
      <c r="O61">
        <f>N61/((1+$D$1)^((H61-$H$4)/365))</f>
        <v>197.2752985176955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7">
      <c r="A1" t="s">
        <v>16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9</v>
      </c>
    </row>
    <row r="2" spans="1:7">
      <c r="A2" s="1">
        <v>48092</v>
      </c>
      <c r="B2">
        <v>4</v>
      </c>
      <c r="C2">
        <v>36505.15795948399</v>
      </c>
      <c r="D2">
        <v>23</v>
      </c>
      <c r="E2">
        <f>SUMPRODUCT(('3_win_BASE_Inputs'!$C$12:$C$65&gt;=B2)*('3_win_BASE_Inputs'!$C$12:$C$65&lt;=D2)*'3_win_BASE_Inputs'!$L$12:$L$65/((1+'3_win_BASE_Inputs'!$B$2)^(('3_win_BASE_Inputs'!$A$12:$A$65-A2)/365)))/C2</f>
        <v>1.384049572273079</v>
      </c>
      <c r="F2">
        <v>1.38404957227308</v>
      </c>
      <c r="G2">
        <f>E2-F2</f>
        <v>-8.881784197001252e-16</v>
      </c>
    </row>
    <row r="3" spans="1:7">
      <c r="A3" s="1">
        <v>48213</v>
      </c>
      <c r="B3">
        <v>5</v>
      </c>
      <c r="C3">
        <v>35549.78468714524</v>
      </c>
      <c r="D3">
        <v>23</v>
      </c>
      <c r="E3">
        <f>SUMPRODUCT(('3_win_BASE_Inputs'!$C$12:$C$65&gt;=B3)*('3_win_BASE_Inputs'!$C$12:$C$65&lt;=D3)*'3_win_BASE_Inputs'!$L$12:$L$65/((1+'3_win_BASE_Inputs'!$B$2)^(('3_win_BASE_Inputs'!$A$12:$A$65-A3)/365)))/C3</f>
        <v>1.3865062273312114</v>
      </c>
      <c r="F3">
        <v>1.386506227331212</v>
      </c>
      <c r="G3">
        <f>E3-F3</f>
        <v>-2.220446049250313e-16</v>
      </c>
    </row>
    <row r="4" spans="1:7">
      <c r="A4" s="1">
        <v>48395</v>
      </c>
      <c r="B4">
        <v>6</v>
      </c>
      <c r="C4">
        <v>34029.09870152675</v>
      </c>
      <c r="D4">
        <v>23</v>
      </c>
      <c r="E4">
        <f>SUMPRODUCT(('3_win_BASE_Inputs'!$C$12:$C$65&gt;=B4)*('3_win_BASE_Inputs'!$C$12:$C$65&lt;=D4)*'3_win_BASE_Inputs'!$L$12:$L$65/((1+'3_win_BASE_Inputs'!$B$2)^(('3_win_BASE_Inputs'!$A$12:$A$65-A4)/365)))/C4</f>
        <v>1.3884491239455683</v>
      </c>
      <c r="F4">
        <v>1.388449123945569</v>
      </c>
      <c r="G4">
        <f>E4-F4</f>
        <v>-4.440892098500626e-16</v>
      </c>
    </row>
    <row r="5" spans="1:7">
      <c r="A5" s="1">
        <v>48579</v>
      </c>
      <c r="B5">
        <v>7</v>
      </c>
      <c r="C5">
        <v>32587.30912296425</v>
      </c>
      <c r="D5">
        <v>23</v>
      </c>
      <c r="E5">
        <f>SUMPRODUCT(('3_win_BASE_Inputs'!$C$12:$C$65&gt;=B5)*('3_win_BASE_Inputs'!$C$12:$C$65&lt;=D5)*'3_win_BASE_Inputs'!$L$12:$L$65/((1+'3_win_BASE_Inputs'!$B$2)^(('3_win_BASE_Inputs'!$A$12:$A$65-A5)/365)))/C5</f>
        <v>1.3953394146447071</v>
      </c>
      <c r="F5">
        <v>1.395339414644707</v>
      </c>
      <c r="G5">
        <f>E5-F5</f>
        <v>-2.220446049250313e-16</v>
      </c>
    </row>
    <row r="6" spans="1:7">
      <c r="A6" s="1">
        <v>48760</v>
      </c>
      <c r="B6">
        <v>8</v>
      </c>
      <c r="C6">
        <v>30927.77840254473</v>
      </c>
      <c r="D6">
        <v>23</v>
      </c>
      <c r="E6">
        <f>SUMPRODUCT(('3_win_BASE_Inputs'!$C$12:$C$65&gt;=B6)*('3_win_BASE_Inputs'!$C$12:$C$65&lt;=D6)*'3_win_BASE_Inputs'!$L$12:$L$65/((1+'3_win_BASE_Inputs'!$B$2)^(('3_win_BASE_Inputs'!$A$12:$A$65-A6)/365)))/C6</f>
        <v>1.3983757676235646</v>
      </c>
      <c r="F6">
        <v>1.398375767623565</v>
      </c>
      <c r="G6">
        <f>E6-F6</f>
        <v>-4.440892098500626e-16</v>
      </c>
    </row>
    <row r="7" spans="1:7">
      <c r="A7" s="1">
        <v>48944</v>
      </c>
      <c r="B7">
        <v>9</v>
      </c>
      <c r="C7">
        <v>29397.26206060033</v>
      </c>
      <c r="D7">
        <v>23</v>
      </c>
      <c r="E7">
        <f>SUMPRODUCT(('3_win_BASE_Inputs'!$C$12:$C$65&gt;=B7)*('3_win_BASE_Inputs'!$C$12:$C$65&lt;=D7)*'3_win_BASE_Inputs'!$L$12:$L$65/((1+'3_win_BASE_Inputs'!$B$2)^(('3_win_BASE_Inputs'!$A$12:$A$65-A7)/365)))/C7</f>
        <v>1.406750737962119</v>
      </c>
      <c r="F7">
        <v>1.40675073796212</v>
      </c>
      <c r="G7">
        <f>E7-F7</f>
        <v>-6.661338147750939e-16</v>
      </c>
    </row>
    <row r="8" spans="1:7">
      <c r="A8" s="1">
        <v>49125</v>
      </c>
      <c r="B8">
        <v>10</v>
      </c>
      <c r="C8">
        <v>27589.90600743119</v>
      </c>
      <c r="D8">
        <v>23</v>
      </c>
      <c r="E8">
        <f>SUMPRODUCT(('3_win_BASE_Inputs'!$C$12:$C$65&gt;=B8)*('3_win_BASE_Inputs'!$C$12:$C$65&lt;=D8)*'3_win_BASE_Inputs'!$L$12:$L$65/((1+'3_win_BASE_Inputs'!$B$2)^(('3_win_BASE_Inputs'!$A$12:$A$65-A8)/365)))/C8</f>
        <v>1.4114611646871595</v>
      </c>
      <c r="F8">
        <v>1.41146116468716</v>
      </c>
      <c r="G8">
        <f>E8-F8</f>
        <v>-2.220446049250313e-16</v>
      </c>
    </row>
    <row r="9" spans="1:7">
      <c r="A9" s="1">
        <v>49309</v>
      </c>
      <c r="B9">
        <v>11</v>
      </c>
      <c r="C9">
        <v>25972.03767025975</v>
      </c>
      <c r="D9">
        <v>23</v>
      </c>
      <c r="E9">
        <f>SUMPRODUCT(('3_win_BASE_Inputs'!$C$12:$C$65&gt;=B9)*('3_win_BASE_Inputs'!$C$12:$C$65&lt;=D9)*'3_win_BASE_Inputs'!$L$12:$L$65/((1+'3_win_BASE_Inputs'!$B$2)^(('3_win_BASE_Inputs'!$A$12:$A$65-A9)/365)))/C9</f>
        <v>1.422047879313442</v>
      </c>
      <c r="F9">
        <v>1.422047879313442</v>
      </c>
      <c r="G9">
        <f>E9-F9</f>
        <v>0.0</v>
      </c>
    </row>
    <row r="10" spans="1:7">
      <c r="A10" s="1">
        <v>49490</v>
      </c>
      <c r="B10">
        <v>12</v>
      </c>
      <c r="C10">
        <v>24009.1607445474</v>
      </c>
      <c r="D10">
        <v>23</v>
      </c>
      <c r="E10">
        <f>SUMPRODUCT(('3_win_BASE_Inputs'!$C$12:$C$65&gt;=B10)*('3_win_BASE_Inputs'!$C$12:$C$65&lt;=D10)*'3_win_BASE_Inputs'!$L$12:$L$65/((1+'3_win_BASE_Inputs'!$B$2)^(('3_win_BASE_Inputs'!$A$12:$A$65-A10)/365)))/C10</f>
        <v>1.4294662282279984</v>
      </c>
      <c r="F10">
        <v>1.429466228227999</v>
      </c>
      <c r="G10">
        <f>E10-F10</f>
        <v>-2.220446049250313e-16</v>
      </c>
    </row>
    <row r="11" spans="1:7">
      <c r="A11" s="1">
        <v>49674</v>
      </c>
      <c r="B11">
        <v>13</v>
      </c>
      <c r="C11">
        <v>22299.25622235764</v>
      </c>
      <c r="D11">
        <v>23</v>
      </c>
      <c r="E11">
        <f>SUMPRODUCT(('3_win_BASE_Inputs'!$C$12:$C$65&gt;=B11)*('3_win_BASE_Inputs'!$C$12:$C$65&lt;=D11)*'3_win_BASE_Inputs'!$L$12:$L$65/((1+'3_win_BASE_Inputs'!$B$2)^(('3_win_BASE_Inputs'!$A$12:$A$65-A11)/365)))/C11</f>
        <v>1.4435897103419195</v>
      </c>
      <c r="F11">
        <v>1.44358971034192</v>
      </c>
      <c r="G11">
        <f>E11-F11</f>
        <v>-2.220446049250313e-16</v>
      </c>
    </row>
    <row r="12" spans="1:7">
      <c r="A12" s="1">
        <v>49856</v>
      </c>
      <c r="B12">
        <v>14</v>
      </c>
      <c r="C12">
        <v>20168.58451585425</v>
      </c>
      <c r="D12">
        <v>23</v>
      </c>
      <c r="E12">
        <f>SUMPRODUCT(('3_win_BASE_Inputs'!$C$12:$C$65&gt;=B12)*('3_win_BASE_Inputs'!$C$12:$C$65&lt;=D12)*'3_win_BASE_Inputs'!$L$12:$L$65/((1+'3_win_BASE_Inputs'!$B$2)^(('3_win_BASE_Inputs'!$A$12:$A$65-A12)/365)))/C12</f>
        <v>1.4558008111904475</v>
      </c>
      <c r="F12">
        <v>1.455800811190448</v>
      </c>
      <c r="G12">
        <f>E12-F12</f>
        <v>-4.440892098500626e-16</v>
      </c>
    </row>
    <row r="13" spans="1:7">
      <c r="A13" s="1">
        <v>50040</v>
      </c>
      <c r="B13">
        <v>15</v>
      </c>
      <c r="C13">
        <v>18452.94582018643</v>
      </c>
      <c r="D13">
        <v>23</v>
      </c>
      <c r="E13">
        <f>SUMPRODUCT(('3_win_BASE_Inputs'!$C$12:$C$65&gt;=B13)*('3_win_BASE_Inputs'!$C$12:$C$65&lt;=D13)*'3_win_BASE_Inputs'!$L$12:$L$65/((1+'3_win_BASE_Inputs'!$B$2)^(('3_win_BASE_Inputs'!$A$12:$A$65-A13)/365)))/C13</f>
        <v>1.4748632113277123</v>
      </c>
      <c r="F13">
        <v>1.474863211327712</v>
      </c>
      <c r="G13">
        <f>E13-F13</f>
        <v>-2.220446049250313e-16</v>
      </c>
    </row>
    <row r="14" spans="1:7">
      <c r="A14" s="1">
        <v>50221</v>
      </c>
      <c r="B14">
        <v>16</v>
      </c>
      <c r="C14">
        <v>16156.86475539737</v>
      </c>
      <c r="D14">
        <v>23</v>
      </c>
      <c r="E14">
        <f>SUMPRODUCT(('3_win_BASE_Inputs'!$C$12:$C$65&gt;=B14)*('3_win_BASE_Inputs'!$C$12:$C$65&lt;=D14)*'3_win_BASE_Inputs'!$L$12:$L$65/((1+'3_win_BASE_Inputs'!$B$2)^(('3_win_BASE_Inputs'!$A$12:$A$65-A14)/365)))/C14</f>
        <v>1.496117303635278</v>
      </c>
      <c r="F14">
        <v>1.496117303635278</v>
      </c>
      <c r="G14">
        <f>E14-F14</f>
        <v>0.0</v>
      </c>
    </row>
    <row r="15" spans="1:7">
      <c r="A15" s="1">
        <v>50405</v>
      </c>
      <c r="B15">
        <v>17</v>
      </c>
      <c r="C15">
        <v>14416.10688523183</v>
      </c>
      <c r="D15">
        <v>23</v>
      </c>
      <c r="E15">
        <f>SUMPRODUCT(('3_win_BASE_Inputs'!$C$12:$C$65&gt;=B15)*('3_win_BASE_Inputs'!$C$12:$C$65&lt;=D15)*'3_win_BASE_Inputs'!$L$12:$L$65/((1+'3_win_BASE_Inputs'!$B$2)^(('3_win_BASE_Inputs'!$A$12:$A$65-A15)/365)))/C15</f>
        <v>1.5249608493448221</v>
      </c>
      <c r="F15">
        <v>1.524960849344822</v>
      </c>
      <c r="G15">
        <f>E15-F15</f>
        <v>-2.220446049250313e-16</v>
      </c>
    </row>
    <row r="16" spans="1:7">
      <c r="A16" s="1">
        <v>50586</v>
      </c>
      <c r="B16">
        <v>18</v>
      </c>
      <c r="C16">
        <v>11943.87042147782</v>
      </c>
      <c r="D16">
        <v>23</v>
      </c>
      <c r="E16">
        <f>SUMPRODUCT(('3_win_BASE_Inputs'!$C$12:$C$65&gt;=B16)*('3_win_BASE_Inputs'!$C$12:$C$65&lt;=D16)*'3_win_BASE_Inputs'!$L$12:$L$65/((1+'3_win_BASE_Inputs'!$B$2)^(('3_win_BASE_Inputs'!$A$12:$A$65-A16)/365)))/C16</f>
        <v>1.5667893413106935</v>
      </c>
      <c r="F16">
        <v>1.566789341310693</v>
      </c>
      <c r="G16">
        <f>E16-F16</f>
        <v>0.0</v>
      </c>
    </row>
    <row r="17" spans="1:7">
      <c r="A17" s="1">
        <v>50770</v>
      </c>
      <c r="B17">
        <v>19</v>
      </c>
      <c r="C17">
        <v>10098.57201562143</v>
      </c>
      <c r="D17">
        <v>23</v>
      </c>
      <c r="E17">
        <f>SUMPRODUCT(('3_win_BASE_Inputs'!$C$12:$C$65&gt;=B17)*('3_win_BASE_Inputs'!$C$12:$C$65&lt;=D17)*'3_win_BASE_Inputs'!$L$12:$L$65/((1+'3_win_BASE_Inputs'!$B$2)^(('3_win_BASE_Inputs'!$A$12:$A$65-A17)/365)))/C17</f>
        <v>1.6227434388924238</v>
      </c>
      <c r="F17">
        <v>1.622743438892424</v>
      </c>
      <c r="G17">
        <f>E17-F17</f>
        <v>0.0</v>
      </c>
    </row>
    <row r="18" spans="1:7">
      <c r="A18" s="1">
        <v>50951</v>
      </c>
      <c r="B18">
        <v>20</v>
      </c>
      <c r="C18">
        <v>7441.127618818859</v>
      </c>
      <c r="D18">
        <v>23</v>
      </c>
      <c r="E18">
        <f>SUMPRODUCT(('3_win_BASE_Inputs'!$C$12:$C$65&gt;=B18)*('3_win_BASE_Inputs'!$C$12:$C$65&lt;=D18)*'3_win_BASE_Inputs'!$L$12:$L$65/((1+'3_win_BASE_Inputs'!$B$2)^(('3_win_BASE_Inputs'!$A$12:$A$65-A18)/365)))/C18</f>
        <v>1.7306385542539529</v>
      </c>
      <c r="F18">
        <v>1.730638554253953</v>
      </c>
      <c r="G18">
        <f>E18-F18</f>
        <v>0.0</v>
      </c>
    </row>
    <row r="19" spans="1:7">
      <c r="A19" s="1">
        <v>51135</v>
      </c>
      <c r="B19">
        <v>21</v>
      </c>
      <c r="C19">
        <v>5485.769502354178</v>
      </c>
      <c r="D19">
        <v>23</v>
      </c>
      <c r="E19">
        <f>SUMPRODUCT(('3_win_BASE_Inputs'!$C$12:$C$65&gt;=B19)*('3_win_BASE_Inputs'!$C$12:$C$65&lt;=D19)*'3_win_BASE_Inputs'!$L$12:$L$65/((1+'3_win_BASE_Inputs'!$B$2)^(('3_win_BASE_Inputs'!$A$12:$A$65-A19)/365)))/C19</f>
        <v>1.8970798573928687</v>
      </c>
      <c r="F19">
        <v>1.897079857392869</v>
      </c>
      <c r="G19">
        <f>E19-F19</f>
        <v>0.0</v>
      </c>
    </row>
    <row r="20" spans="1:7">
      <c r="A20" s="1">
        <v>51317</v>
      </c>
      <c r="B20">
        <v>22</v>
      </c>
      <c r="C20">
        <v>2626.130766054908</v>
      </c>
      <c r="D20">
        <v>23</v>
      </c>
      <c r="E20">
        <f>SUMPRODUCT(('3_win_BASE_Inputs'!$C$12:$C$65&gt;=B20)*('3_win_BASE_Inputs'!$C$12:$C$65&lt;=D20)*'3_win_BASE_Inputs'!$L$12:$L$65/((1+'3_win_BASE_Inputs'!$B$2)^(('3_win_BASE_Inputs'!$A$12:$A$65-A20)/365)))/C20</f>
        <v>2.527171472320741</v>
      </c>
      <c r="F20">
        <v>2.527171472320741</v>
      </c>
      <c r="G20">
        <f>E20-F20</f>
        <v>-4.440892098500626e-16</v>
      </c>
    </row>
    <row r="21" spans="1:7">
      <c r="A21" s="1">
        <v>51501</v>
      </c>
      <c r="B21">
        <v>23</v>
      </c>
      <c r="C21">
        <v>563.1046600247992</v>
      </c>
      <c r="D21">
        <v>23</v>
      </c>
      <c r="E21">
        <f>SUMPRODUCT(('3_win_BASE_Inputs'!$C$12:$C$65&gt;=B21)*('3_win_BASE_Inputs'!$C$12:$C$65&lt;=D21)*'3_win_BASE_Inputs'!$L$12:$L$65/((1+'3_win_BASE_Inputs'!$B$2)^(('3_win_BASE_Inputs'!$A$12:$A$65-A21)/365)))/C21</f>
        <v>7.146708779424722</v>
      </c>
      <c r="F21">
        <v>7.146708779424722</v>
      </c>
      <c r="G21">
        <f>E21-F21</f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5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6" width="21.7109375" customWidth="1"/>
  </cols>
  <sheetData>
    <row r="1" spans="1:16">
      <c r="A1" t="s">
        <v>12</v>
      </c>
      <c r="B1" t="s">
        <v>71</v>
      </c>
      <c r="C1" t="s">
        <v>72</v>
      </c>
    </row>
    <row r="2" spans="1:16">
      <c r="A2" t="s">
        <v>15</v>
      </c>
      <c r="B2">
        <v>0.055</v>
      </c>
    </row>
    <row r="3" spans="1:16">
      <c r="A3" t="s">
        <v>16</v>
      </c>
      <c r="B3" s="1">
        <v>48092</v>
      </c>
    </row>
    <row r="4" spans="1:16">
      <c r="A4" t="s">
        <v>17</v>
      </c>
      <c r="B4" s="1">
        <v>53508</v>
      </c>
    </row>
    <row r="5" spans="1:16">
      <c r="A5" t="s">
        <v>18</v>
      </c>
      <c r="B5" s="1">
        <v>51682</v>
      </c>
    </row>
    <row r="6" spans="1:16">
      <c r="A6" t="s">
        <v>19</v>
      </c>
      <c r="B6" s="1">
        <v>57891</v>
      </c>
    </row>
    <row r="8" spans="1:16">
      <c r="A8" t="s">
        <v>20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</row>
    <row r="12" spans="1:16">
      <c r="A12" s="1">
        <v>48213</v>
      </c>
      <c r="B12" s="1">
        <v>48092</v>
      </c>
      <c r="C12">
        <v>4</v>
      </c>
      <c r="D12">
        <v>2139.730107624294</v>
      </c>
      <c r="E12">
        <v>1956.254014207721</v>
      </c>
      <c r="F12">
        <v>2269.196256438356</v>
      </c>
      <c r="G12">
        <v>0</v>
      </c>
      <c r="H12">
        <v>129.4661488140624</v>
      </c>
      <c r="I12">
        <f>F12+G12-H12</f>
        <v>2139.730107624294</v>
      </c>
      <c r="J12">
        <f>I12-D12</f>
        <v>0.0</v>
      </c>
      <c r="K12">
        <v>36505.15795948399</v>
      </c>
      <c r="L12">
        <f>E12</f>
        <v>1956.2540142077205</v>
      </c>
      <c r="M12">
        <f>(1+$B$2)^((A12-$B$3)/365)</f>
        <v>1.017907582851968</v>
      </c>
      <c r="N12">
        <f>IF(A12&lt;=$B$4,L12/M12,0)</f>
        <v>1921.8385314771883</v>
      </c>
      <c r="O12">
        <f>IF(A12&lt;=$B$5,L12/M12,0)</f>
        <v>1921.8385314771883</v>
      </c>
      <c r="P12">
        <f>IF(A12&lt;=$B$6,L12/M12,0)</f>
        <v>1921.8385314771883</v>
      </c>
    </row>
    <row r="13" spans="1:16">
      <c r="A13" s="1">
        <v>48395</v>
      </c>
      <c r="B13" s="1">
        <v>48213</v>
      </c>
      <c r="C13">
        <v>5</v>
      </c>
      <c r="D13">
        <v>3375.945250273223</v>
      </c>
      <c r="E13">
        <v>3011.000998469945</v>
      </c>
      <c r="F13">
        <v>3375.945250273223</v>
      </c>
      <c r="G13">
        <v>0</v>
      </c>
      <c r="H13">
        <v>0</v>
      </c>
      <c r="I13">
        <f>F13+G13-H13</f>
        <v>3375.9452502732233</v>
      </c>
      <c r="J13">
        <f>I13-D13</f>
        <v>0.0</v>
      </c>
      <c r="K13">
        <v>35549.78468714524</v>
      </c>
      <c r="L13">
        <f>E13</f>
        <v>3011.000998469945</v>
      </c>
      <c r="M13">
        <f>(1+$B$2)^((A13-$B$3)/365)</f>
        <v>1.0454486996351844</v>
      </c>
      <c r="N13">
        <f>IF(A13&lt;=$B$4,L13/M13,0)</f>
        <v>2880.104016123079</v>
      </c>
      <c r="O13">
        <f>IF(A13&lt;=$B$5,L13/M13,0)</f>
        <v>2880.104016123079</v>
      </c>
      <c r="P13">
        <f>IF(A13&lt;=$B$6,L13/M13,0)</f>
        <v>2880.104016123079</v>
      </c>
    </row>
    <row r="14" spans="1:16">
      <c r="A14" s="1">
        <v>48579</v>
      </c>
      <c r="B14" s="1">
        <v>48395</v>
      </c>
      <c r="C14">
        <v>6</v>
      </c>
      <c r="D14">
        <v>3069.9151116793</v>
      </c>
      <c r="E14">
        <v>2878.062423806495</v>
      </c>
      <c r="F14">
        <v>3492.656870819672</v>
      </c>
      <c r="G14">
        <v>0</v>
      </c>
      <c r="H14">
        <v>422.7417591403728</v>
      </c>
      <c r="I14">
        <f>F14+G14-H14</f>
        <v>3069.9151116792996</v>
      </c>
      <c r="J14">
        <f>I14-D14</f>
        <v>0.0</v>
      </c>
      <c r="K14">
        <v>34029.09870152675</v>
      </c>
      <c r="L14">
        <f>E14</f>
        <v>2878.0624238064947</v>
      </c>
      <c r="M14">
        <f>(1+$B$2)^((A14-$B$3)/365)</f>
        <v>1.0740500375671378</v>
      </c>
      <c r="N14">
        <f>IF(A14&lt;=$B$4,L14/M14,0)</f>
        <v>2679.6353271637868</v>
      </c>
      <c r="O14">
        <f>IF(A14&lt;=$B$5,L14/M14,0)</f>
        <v>2679.6353271637868</v>
      </c>
      <c r="P14">
        <f>IF(A14&lt;=$B$6,L14/M14,0)</f>
        <v>2679.6353271637868</v>
      </c>
    </row>
    <row r="15" spans="1:16">
      <c r="A15" s="1">
        <v>48760</v>
      </c>
      <c r="B15" s="1">
        <v>48579</v>
      </c>
      <c r="C15">
        <v>7</v>
      </c>
      <c r="D15">
        <v>3445.124286246575</v>
      </c>
      <c r="E15">
        <v>3072.792405567124</v>
      </c>
      <c r="F15">
        <v>3445.124286246575</v>
      </c>
      <c r="G15">
        <v>0</v>
      </c>
      <c r="H15">
        <v>0</v>
      </c>
      <c r="I15">
        <f>F15+G15-H15</f>
        <v>3445.1242862465747</v>
      </c>
      <c r="J15">
        <f>I15-D15</f>
        <v>0.0</v>
      </c>
      <c r="K15">
        <v>32587.30912296425</v>
      </c>
      <c r="L15">
        <f>E15</f>
        <v>3072.7924055671238</v>
      </c>
      <c r="M15">
        <f>(1+$B$2)^((A15-$B$3)/365)</f>
        <v>1.1029483781151195</v>
      </c>
      <c r="N15">
        <f>IF(A15&lt;=$B$4,L15/M15,0)</f>
        <v>2785.980256681064</v>
      </c>
      <c r="O15">
        <f>IF(A15&lt;=$B$5,L15/M15,0)</f>
        <v>2785.980256681064</v>
      </c>
      <c r="P15">
        <f>IF(A15&lt;=$B$6,L15/M15,0)</f>
        <v>2785.980256681064</v>
      </c>
    </row>
    <row r="16" spans="1:16">
      <c r="A16" s="1">
        <v>48944</v>
      </c>
      <c r="B16" s="1">
        <v>48760</v>
      </c>
      <c r="C16">
        <v>8</v>
      </c>
      <c r="D16">
        <v>3077.230525039318</v>
      </c>
      <c r="E16">
        <v>2879.916668445783</v>
      </c>
      <c r="F16">
        <v>3583.653862329863</v>
      </c>
      <c r="G16">
        <v>0</v>
      </c>
      <c r="H16">
        <v>506.4233372905449</v>
      </c>
      <c r="I16">
        <f>F16+G16-H16</f>
        <v>3077.2305250393183</v>
      </c>
      <c r="J16">
        <f>I16-D16</f>
        <v>0.0</v>
      </c>
      <c r="K16">
        <v>30927.77840254473</v>
      </c>
      <c r="L16">
        <f>E16</f>
        <v>2879.916668445783</v>
      </c>
      <c r="M16">
        <f>(1+$B$2)^((A16-$B$3)/365)</f>
        <v>1.1331227896333305</v>
      </c>
      <c r="N16">
        <f>IF(A16&lt;=$B$4,L16/M16,0)</f>
        <v>2541.575100945328</v>
      </c>
      <c r="O16">
        <f>IF(A16&lt;=$B$5,L16/M16,0)</f>
        <v>2541.575100945328</v>
      </c>
      <c r="P16">
        <f>IF(A16&lt;=$B$6,L16/M16,0)</f>
        <v>2541.575100945328</v>
      </c>
    </row>
    <row r="17" spans="1:16">
      <c r="A17" s="1">
        <v>49125</v>
      </c>
      <c r="B17" s="1">
        <v>48944</v>
      </c>
      <c r="C17">
        <v>9</v>
      </c>
      <c r="D17">
        <v>3525.224723270136</v>
      </c>
      <c r="E17">
        <v>3144.326409847233</v>
      </c>
      <c r="F17">
        <v>3525.224723270136</v>
      </c>
      <c r="G17">
        <v>0</v>
      </c>
      <c r="H17">
        <v>0</v>
      </c>
      <c r="I17">
        <f>F17+G17-H17</f>
        <v>3525.224723270136</v>
      </c>
      <c r="J17">
        <f>I17-D17</f>
        <v>0.0</v>
      </c>
      <c r="K17">
        <v>29397.26206060033</v>
      </c>
      <c r="L17">
        <f>E17</f>
        <v>3144.3264098472328</v>
      </c>
      <c r="M17">
        <f>(1+$B$2)^((A17-$B$3)/365)</f>
        <v>1.163610538911451</v>
      </c>
      <c r="N17">
        <f>IF(A17&lt;=$B$4,L17/M17,0)</f>
        <v>2702.215479062889</v>
      </c>
      <c r="O17">
        <f>IF(A17&lt;=$B$5,L17/M17,0)</f>
        <v>2702.215479062889</v>
      </c>
      <c r="P17">
        <f>IF(A17&lt;=$B$6,L17/M17,0)</f>
        <v>2702.215479062889</v>
      </c>
    </row>
    <row r="18" spans="1:16">
      <c r="A18" s="1">
        <v>49309</v>
      </c>
      <c r="B18" s="1">
        <v>49125</v>
      </c>
      <c r="C18">
        <v>10</v>
      </c>
      <c r="D18">
        <v>3073.975451985274</v>
      </c>
      <c r="E18">
        <v>2872.141500589731</v>
      </c>
      <c r="F18">
        <v>3666.710492277831</v>
      </c>
      <c r="G18">
        <v>0</v>
      </c>
      <c r="H18">
        <v>592.7350402925576</v>
      </c>
      <c r="I18">
        <f>F18+G18-H18</f>
        <v>3073.9754519852736</v>
      </c>
      <c r="J18">
        <f>I18-D18</f>
        <v>0.0</v>
      </c>
      <c r="K18">
        <v>27589.90600743119</v>
      </c>
      <c r="L18">
        <f>E18</f>
        <v>2872.1415005897306</v>
      </c>
      <c r="M18">
        <f>(1+$B$2)^((A18-$B$3)/365)</f>
        <v>1.1954445430631635</v>
      </c>
      <c r="N18">
        <f>IF(A18&lt;=$B$4,L18/M18,0)</f>
        <v>2402.5719279543155</v>
      </c>
      <c r="O18">
        <f>IF(A18&lt;=$B$5,L18/M18,0)</f>
        <v>2402.5719279543155</v>
      </c>
      <c r="P18">
        <f>IF(A18&lt;=$B$6,L18/M18,0)</f>
        <v>2402.5719279543155</v>
      </c>
    </row>
    <row r="19" spans="1:16">
      <c r="A19" s="1">
        <v>49490</v>
      </c>
      <c r="B19" s="1">
        <v>49309</v>
      </c>
      <c r="C19">
        <v>11</v>
      </c>
      <c r="D19">
        <v>3606.92716903417</v>
      </c>
      <c r="E19">
        <v>3217.291094212945</v>
      </c>
      <c r="F19">
        <v>3606.92716903417</v>
      </c>
      <c r="G19">
        <v>0</v>
      </c>
      <c r="H19">
        <v>0</v>
      </c>
      <c r="I19">
        <f>F19+G19-H19</f>
        <v>3606.9271690341698</v>
      </c>
      <c r="J19">
        <f>I19-D19</f>
        <v>0.0</v>
      </c>
      <c r="K19">
        <v>25972.03767025975</v>
      </c>
      <c r="L19">
        <f>E19</f>
        <v>3217.2910942129447</v>
      </c>
      <c r="M19">
        <f>(1+$B$2)^((A19-$B$3)/365)</f>
        <v>1.2276091185515807</v>
      </c>
      <c r="N19">
        <f>IF(A19&lt;=$B$4,L19/M19,0)</f>
        <v>2620.7781007760273</v>
      </c>
      <c r="O19">
        <f>IF(A19&lt;=$B$5,L19/M19,0)</f>
        <v>2620.7781007760273</v>
      </c>
      <c r="P19">
        <f>IF(A19&lt;=$B$6,L19/M19,0)</f>
        <v>2620.7781007760273</v>
      </c>
    </row>
    <row r="20" spans="1:16">
      <c r="A20" s="1">
        <v>49674</v>
      </c>
      <c r="B20" s="1">
        <v>49490</v>
      </c>
      <c r="C20">
        <v>12</v>
      </c>
      <c r="D20">
        <v>3068.240401218467</v>
      </c>
      <c r="E20">
        <v>2861.794449077116</v>
      </c>
      <c r="F20">
        <v>3751.428254824757</v>
      </c>
      <c r="G20">
        <v>0</v>
      </c>
      <c r="H20">
        <v>683.1878536062908</v>
      </c>
      <c r="I20">
        <f>F20+G20-H20</f>
        <v>3068.2404012184666</v>
      </c>
      <c r="J20">
        <f>I20-D20</f>
        <v>0.0</v>
      </c>
      <c r="K20">
        <v>24009.1607445474</v>
      </c>
      <c r="L20">
        <f>E20</f>
        <v>2861.7944490771165</v>
      </c>
      <c r="M20">
        <f>(1+$B$2)^((A20-$B$3)/365)</f>
        <v>1.2611939929316374</v>
      </c>
      <c r="N20">
        <f>IF(A20&lt;=$B$4,L20/M20,0)</f>
        <v>2269.115191727875</v>
      </c>
      <c r="O20">
        <f>IF(A20&lt;=$B$5,L20/M20,0)</f>
        <v>2269.115191727875</v>
      </c>
      <c r="P20">
        <f>IF(A20&lt;=$B$6,L20/M20,0)</f>
        <v>2269.115191727875</v>
      </c>
    </row>
    <row r="21" spans="1:16">
      <c r="A21" s="1">
        <v>49856</v>
      </c>
      <c r="B21" s="1">
        <v>49674</v>
      </c>
      <c r="C21">
        <v>13</v>
      </c>
      <c r="D21">
        <v>3700.513467688414</v>
      </c>
      <c r="E21">
        <v>3300.857897090065</v>
      </c>
      <c r="F21">
        <v>3700.513467688414</v>
      </c>
      <c r="G21">
        <v>0</v>
      </c>
      <c r="H21">
        <v>0</v>
      </c>
      <c r="I21">
        <f>F21+G21-H21</f>
        <v>3700.5134676884136</v>
      </c>
      <c r="J21">
        <f>I21-D21</f>
        <v>0.0</v>
      </c>
      <c r="K21">
        <v>22299.25622235764</v>
      </c>
      <c r="L21">
        <f>E21</f>
        <v>3300.857897090065</v>
      </c>
      <c r="M21">
        <f>(1+$B$2)^((A21-$B$3)/365)</f>
        <v>1.2953176124338146</v>
      </c>
      <c r="N21">
        <f>IF(A21&lt;=$B$4,L21/M21,0)</f>
        <v>2548.3000195511704</v>
      </c>
      <c r="O21">
        <f>IF(A21&lt;=$B$5,L21/M21,0)</f>
        <v>2548.3000195511704</v>
      </c>
      <c r="P21">
        <f>IF(A21&lt;=$B$6,L21/M21,0)</f>
        <v>2548.3000195511704</v>
      </c>
    </row>
    <row r="22" spans="1:16">
      <c r="A22" s="1">
        <v>50040</v>
      </c>
      <c r="B22" s="1">
        <v>49856</v>
      </c>
      <c r="C22">
        <v>14</v>
      </c>
      <c r="D22">
        <v>2949.1397532808</v>
      </c>
      <c r="E22">
        <v>2739.120019136285</v>
      </c>
      <c r="F22">
        <v>3827.354469965183</v>
      </c>
      <c r="G22">
        <v>0</v>
      </c>
      <c r="H22">
        <v>878.2147166843836</v>
      </c>
      <c r="I22">
        <f>F22+G22-H22</f>
        <v>2949.1397532807996</v>
      </c>
      <c r="J22">
        <f>I22-D22</f>
        <v>0.0</v>
      </c>
      <c r="K22">
        <v>20168.58451585425</v>
      </c>
      <c r="L22">
        <f>E22</f>
        <v>2739.120019136285</v>
      </c>
      <c r="M22">
        <f>(1+$B$2)^((A22-$B$3)/365)</f>
        <v>1.330754852707162</v>
      </c>
      <c r="N22">
        <f>IF(A22&lt;=$B$4,L22/M22,0)</f>
        <v>2058.320519037806</v>
      </c>
      <c r="O22">
        <f>IF(A22&lt;=$B$5,L22/M22,0)</f>
        <v>2058.320519037806</v>
      </c>
      <c r="P22">
        <f>IF(A22&lt;=$B$6,L22/M22,0)</f>
        <v>2058.320519037806</v>
      </c>
    </row>
    <row r="23" spans="1:16">
      <c r="A23" s="1">
        <v>50221</v>
      </c>
      <c r="B23" s="1">
        <v>50040</v>
      </c>
      <c r="C23">
        <v>15</v>
      </c>
      <c r="D23">
        <v>3775.266888286383</v>
      </c>
      <c r="E23">
        <v>3367.627529880057</v>
      </c>
      <c r="F23">
        <v>3775.266888286383</v>
      </c>
      <c r="G23">
        <v>0</v>
      </c>
      <c r="H23">
        <v>0</v>
      </c>
      <c r="I23">
        <f>F23+G23-H23</f>
        <v>3775.266888286383</v>
      </c>
      <c r="J23">
        <f>I23-D23</f>
        <v>0.0</v>
      </c>
      <c r="K23">
        <v>18452.94582018643</v>
      </c>
      <c r="L23">
        <f>E23</f>
        <v>3367.6275298800574</v>
      </c>
      <c r="M23">
        <f>(1+$B$2)^((A23-$B$3)/365)</f>
        <v>1.3665600811176744</v>
      </c>
      <c r="N23">
        <f>IF(A23&lt;=$B$4,L23/M23,0)</f>
        <v>2464.309894904702</v>
      </c>
      <c r="O23">
        <f>IF(A23&lt;=$B$5,L23/M23,0)</f>
        <v>2464.309894904702</v>
      </c>
      <c r="P23">
        <f>IF(A23&lt;=$B$6,L23/M23,0)</f>
        <v>2464.309894904702</v>
      </c>
    </row>
    <row r="24" spans="1:16">
      <c r="A24" s="1">
        <v>50405</v>
      </c>
      <c r="B24" s="1">
        <v>50221</v>
      </c>
      <c r="C24">
        <v>16</v>
      </c>
      <c r="D24">
        <v>2849.878264110367</v>
      </c>
      <c r="E24">
        <v>2633.934348620119</v>
      </c>
      <c r="F24">
        <v>3925.980732776445</v>
      </c>
      <c r="G24">
        <v>0</v>
      </c>
      <c r="H24">
        <v>1076.102468666078</v>
      </c>
      <c r="I24">
        <f>F24+G24-H24</f>
        <v>2849.8782641103667</v>
      </c>
      <c r="J24">
        <f>I24-D24</f>
        <v>0.0</v>
      </c>
      <c r="K24">
        <v>16156.86475539737</v>
      </c>
      <c r="L24">
        <f>E24</f>
        <v>2633.934348620119</v>
      </c>
      <c r="M24">
        <f>(1+$B$2)^((A24-$B$3)/365)</f>
        <v>1.4039463696060557</v>
      </c>
      <c r="N24">
        <f>IF(A24&lt;=$B$4,L24/M24,0)</f>
        <v>1876.093279374479</v>
      </c>
      <c r="O24">
        <f>IF(A24&lt;=$B$5,L24/M24,0)</f>
        <v>1876.093279374479</v>
      </c>
      <c r="P24">
        <f>IF(A24&lt;=$B$6,L24/M24,0)</f>
        <v>1876.093279374479</v>
      </c>
    </row>
    <row r="25" spans="1:16">
      <c r="A25" s="1">
        <v>50586</v>
      </c>
      <c r="B25" s="1">
        <v>50405</v>
      </c>
      <c r="C25">
        <v>17</v>
      </c>
      <c r="D25">
        <v>3861.970177350741</v>
      </c>
      <c r="E25">
        <v>3445.058236646426</v>
      </c>
      <c r="F25">
        <v>3861.970177350741</v>
      </c>
      <c r="G25">
        <v>0</v>
      </c>
      <c r="H25">
        <v>0</v>
      </c>
      <c r="I25">
        <f>F25+G25-H25</f>
        <v>3861.9701773507413</v>
      </c>
      <c r="J25">
        <f>I25-D25</f>
        <v>0.0</v>
      </c>
      <c r="K25">
        <v>14416.10688523183</v>
      </c>
      <c r="L25">
        <f>E25</f>
        <v>3445.058236646426</v>
      </c>
      <c r="M25">
        <f>(1+$B$2)^((A25-$B$3)/365)</f>
        <v>1.4417208855791463</v>
      </c>
      <c r="N25">
        <f>IF(A25&lt;=$B$4,L25/M25,0)</f>
        <v>2389.545903860947</v>
      </c>
      <c r="O25">
        <f>IF(A25&lt;=$B$5,L25/M25,0)</f>
        <v>2389.545903860947</v>
      </c>
      <c r="P25">
        <f>IF(A25&lt;=$B$6,L25/M25,0)</f>
        <v>2389.545903860947</v>
      </c>
    </row>
    <row r="26" spans="1:16">
      <c r="A26" s="1">
        <v>50770</v>
      </c>
      <c r="B26" s="1">
        <v>50586</v>
      </c>
      <c r="C26">
        <v>18</v>
      </c>
      <c r="D26">
        <v>2838.101260762118</v>
      </c>
      <c r="E26">
        <v>2617.264649291928</v>
      </c>
      <c r="F26">
        <v>4015.883900133344</v>
      </c>
      <c r="G26">
        <v>0</v>
      </c>
      <c r="H26">
        <v>1177.782639371226</v>
      </c>
      <c r="I26">
        <f>F26+G26-H26</f>
        <v>2838.101260762118</v>
      </c>
      <c r="J26">
        <f>I26-D26</f>
        <v>0.0</v>
      </c>
      <c r="K26">
        <v>11943.87042147782</v>
      </c>
      <c r="L26">
        <f>E26</f>
        <v>2617.2646492919284</v>
      </c>
      <c r="M26">
        <f>(1+$B$2)^((A26-$B$3)/365)</f>
        <v>1.4811634199343888</v>
      </c>
      <c r="N26">
        <f>IF(A26&lt;=$B$4,L26/M26,0)</f>
        <v>1767.0330053167702</v>
      </c>
      <c r="O26">
        <f>IF(A26&lt;=$B$5,L26/M26,0)</f>
        <v>1767.0330053167702</v>
      </c>
      <c r="P26">
        <f>IF(A26&lt;=$B$6,L26/M26,0)</f>
        <v>1767.0330053167702</v>
      </c>
    </row>
    <row r="27" spans="1:16">
      <c r="A27" s="1">
        <v>50951</v>
      </c>
      <c r="B27" s="1">
        <v>50770</v>
      </c>
      <c r="C27">
        <v>19</v>
      </c>
      <c r="D27">
        <v>3950.407532196386</v>
      </c>
      <c r="E27">
        <v>3524.037557548122</v>
      </c>
      <c r="F27">
        <v>3950.407532196386</v>
      </c>
      <c r="G27">
        <v>0</v>
      </c>
      <c r="H27">
        <v>0</v>
      </c>
      <c r="I27">
        <f>F27+G27-H27</f>
        <v>3950.4075321963855</v>
      </c>
      <c r="J27">
        <f>I27-D27</f>
        <v>0.0</v>
      </c>
      <c r="K27">
        <v>10098.57201562143</v>
      </c>
      <c r="L27">
        <f>E27</f>
        <v>3524.037557548122</v>
      </c>
      <c r="M27">
        <f>(1+$B$2)^((A27-$B$3)/365)</f>
        <v>1.5210155342859992</v>
      </c>
      <c r="N27">
        <f>IF(A27&lt;=$B$4,L27/M27,0)</f>
        <v>2316.897808149204</v>
      </c>
      <c r="O27">
        <f>IF(A27&lt;=$B$5,L27/M27,0)</f>
        <v>2316.897808149204</v>
      </c>
      <c r="P27">
        <f>IF(A27&lt;=$B$6,L27/M27,0)</f>
        <v>2316.897808149204</v>
      </c>
    </row>
    <row r="28" spans="1:16">
      <c r="A28" s="1">
        <v>51135</v>
      </c>
      <c r="B28" s="1">
        <v>50951</v>
      </c>
      <c r="C28">
        <v>20</v>
      </c>
      <c r="D28">
        <v>2823.27258512023</v>
      </c>
      <c r="E28">
        <v>2597.443778303343</v>
      </c>
      <c r="F28">
        <v>4107.585130837381</v>
      </c>
      <c r="G28">
        <v>0</v>
      </c>
      <c r="H28">
        <v>1284.312545717151</v>
      </c>
      <c r="I28">
        <f>F28+G28-H28</f>
        <v>2823.2725851202304</v>
      </c>
      <c r="J28">
        <f>I28-D28</f>
        <v>0.0</v>
      </c>
      <c r="K28">
        <v>7441.127618818859</v>
      </c>
      <c r="L28">
        <f>E28</f>
        <v>2597.4437783033427</v>
      </c>
      <c r="M28">
        <f>(1+$B$2)^((A28-$B$3)/365)</f>
        <v>1.56262740803078</v>
      </c>
      <c r="N28">
        <f>IF(A28&lt;=$B$4,L28/M28,0)</f>
        <v>1662.2284781095937</v>
      </c>
      <c r="O28">
        <f>IF(A28&lt;=$B$5,L28/M28,0)</f>
        <v>1662.2284781095937</v>
      </c>
      <c r="P28">
        <f>IF(A28&lt;=$B$6,L28/M28,0)</f>
        <v>1662.2284781095937</v>
      </c>
    </row>
    <row r="29" spans="1:16">
      <c r="A29" s="1">
        <v>51317</v>
      </c>
      <c r="B29" s="1">
        <v>51135</v>
      </c>
      <c r="C29">
        <v>21</v>
      </c>
      <c r="D29">
        <v>4051.836544332489</v>
      </c>
      <c r="E29">
        <v>3614.608325954342</v>
      </c>
      <c r="F29">
        <v>4051.836544332489</v>
      </c>
      <c r="G29">
        <v>0</v>
      </c>
      <c r="H29">
        <v>0</v>
      </c>
      <c r="I29">
        <f>F29+G29-H29</f>
        <v>4051.8365443324888</v>
      </c>
      <c r="J29">
        <f>I29-D29</f>
        <v>0.0</v>
      </c>
      <c r="K29">
        <v>5485.769502354178</v>
      </c>
      <c r="L29">
        <f>E29</f>
        <v>3614.608325954342</v>
      </c>
      <c r="M29">
        <f>(1+$B$2)^((A29-$B$3)/365)</f>
        <v>1.6049067904209289</v>
      </c>
      <c r="N29">
        <f>IF(A29&lt;=$B$4,L29/M29,0)</f>
        <v>2252.223211670951</v>
      </c>
      <c r="O29">
        <f>IF(A29&lt;=$B$5,L29/M29,0)</f>
        <v>2252.223211670951</v>
      </c>
      <c r="P29">
        <f>IF(A29&lt;=$B$6,L29/M29,0)</f>
        <v>2252.223211670951</v>
      </c>
    </row>
    <row r="30" spans="1:16">
      <c r="A30" s="1">
        <v>51501</v>
      </c>
      <c r="B30" s="1">
        <v>51317</v>
      </c>
      <c r="C30">
        <v>22</v>
      </c>
      <c r="D30">
        <v>2793.90380169658</v>
      </c>
      <c r="E30">
        <v>2564.21947241536</v>
      </c>
      <c r="F30">
        <v>4189.641915155073</v>
      </c>
      <c r="G30">
        <v>0</v>
      </c>
      <c r="H30">
        <v>1395.738113458493</v>
      </c>
      <c r="I30">
        <f>F30+G30-H30</f>
        <v>2793.90380169658</v>
      </c>
      <c r="J30">
        <f>I30-D30</f>
        <v>0.0</v>
      </c>
      <c r="K30">
        <v>2626.130766054908</v>
      </c>
      <c r="L30">
        <f>E30</f>
        <v>2564.21947241536</v>
      </c>
      <c r="M30">
        <f>(1+$B$2)^((A30-$B$3)/365)</f>
        <v>1.648813757332011</v>
      </c>
      <c r="N30">
        <f>IF(A30&lt;=$B$4,L30/M30,0)</f>
        <v>1555.190488320883</v>
      </c>
      <c r="O30">
        <f>IF(A30&lt;=$B$5,L30/M30,0)</f>
        <v>1555.190488320883</v>
      </c>
      <c r="P30">
        <f>IF(A30&lt;=$B$6,L30/M30,0)</f>
        <v>1555.190488320883</v>
      </c>
    </row>
    <row r="31" spans="1:16">
      <c r="A31" s="1">
        <v>51682</v>
      </c>
      <c r="B31" s="1">
        <v>51501</v>
      </c>
      <c r="C31">
        <v>23</v>
      </c>
      <c r="D31">
        <v>4132.623858120352</v>
      </c>
      <c r="E31">
        <v>3686.766550333975</v>
      </c>
      <c r="F31">
        <v>4132.623858120352</v>
      </c>
      <c r="G31">
        <v>0</v>
      </c>
      <c r="H31">
        <v>0</v>
      </c>
      <c r="I31">
        <f>F31+G31-H31</f>
        <v>4132.623858120352</v>
      </c>
      <c r="J31">
        <f>I31-D31</f>
        <v>0.0</v>
      </c>
      <c r="K31">
        <v>563.1046600247992</v>
      </c>
      <c r="L31">
        <f>E31</f>
        <v>3686.766550333975</v>
      </c>
      <c r="M31">
        <f>(1+$B$2)^((A31-$B$3)/365)</f>
        <v>1.69317666389408</v>
      </c>
      <c r="N31">
        <f>IF(A31&lt;=$B$4,L31/M31,0)</f>
        <v>2177.425799062754</v>
      </c>
      <c r="O31">
        <f>IF(A31&lt;=$B$5,L31/M31,0)</f>
        <v>2177.425799062754</v>
      </c>
      <c r="P31">
        <f>IF(A31&lt;=$B$6,L31/M31,0)</f>
        <v>2177.425799062754</v>
      </c>
    </row>
    <row r="32" spans="1:16">
      <c r="A32" s="1">
        <v>51866</v>
      </c>
      <c r="B32" s="1">
        <v>51682</v>
      </c>
      <c r="C32">
        <v>24</v>
      </c>
      <c r="D32">
        <v>2801.348232008839</v>
      </c>
      <c r="E32">
        <v>2565.238541626094</v>
      </c>
      <c r="F32">
        <v>4296.526346579977</v>
      </c>
      <c r="G32">
        <v>0</v>
      </c>
      <c r="H32">
        <v>1495.178114571139</v>
      </c>
      <c r="I32">
        <f>F32+G32-H32</f>
        <v>2801.3482320088387</v>
      </c>
      <c r="J32">
        <f>I32-D32</f>
        <v>0.0</v>
      </c>
      <c r="K32">
        <v>0</v>
      </c>
      <c r="L32">
        <f>E32</f>
        <v>2565.238541626094</v>
      </c>
      <c r="M32">
        <f>(1+$B$2)^((A32-$B$3)/365)</f>
        <v>1.7394985139852714</v>
      </c>
      <c r="N32">
        <f>IF(A32&lt;=$B$4,L32/M32,0)</f>
        <v>1474.7000477448032</v>
      </c>
      <c r="O32">
        <f>IF(A32&lt;=$B$5,L32/M32,0)</f>
        <v>0</v>
      </c>
      <c r="P32">
        <f>IF(A32&lt;=$B$6,L32/M32,0)</f>
        <v>1474.7000477448032</v>
      </c>
    </row>
    <row r="33" spans="1:16">
      <c r="A33" s="1">
        <v>52047</v>
      </c>
      <c r="B33" s="1">
        <v>51866</v>
      </c>
      <c r="C33">
        <v>25</v>
      </c>
      <c r="D33">
        <v>4226.47428658139</v>
      </c>
      <c r="E33">
        <v>3770.580037509422</v>
      </c>
      <c r="F33">
        <v>4226.47428658139</v>
      </c>
      <c r="G33">
        <v>0</v>
      </c>
      <c r="H33">
        <v>0</v>
      </c>
      <c r="I33">
        <f>F33+G33-H33</f>
        <v>4226.47428658139</v>
      </c>
      <c r="J33">
        <f>I33-D33</f>
        <v>0.0</v>
      </c>
      <c r="K33">
        <v>0</v>
      </c>
      <c r="L33">
        <f>E33</f>
        <v>3770.580037509422</v>
      </c>
      <c r="M33">
        <f>(1+$B$2)^((A33-$B$3)/365)</f>
        <v>1.7863013804082541</v>
      </c>
      <c r="N33">
        <f>IF(A33&lt;=$B$4,L33/M33,0)</f>
        <v>2110.830836758166</v>
      </c>
      <c r="O33">
        <f>IF(A33&lt;=$B$5,L33/M33,0)</f>
        <v>0</v>
      </c>
      <c r="P33">
        <f>IF(A33&lt;=$B$6,L33/M33,0)</f>
        <v>2110.830836758166</v>
      </c>
    </row>
    <row r="34" spans="1:16">
      <c r="A34" s="1">
        <v>52231</v>
      </c>
      <c r="B34" s="1">
        <v>52047</v>
      </c>
      <c r="C34">
        <v>26</v>
      </c>
      <c r="D34">
        <v>2846.997247527363</v>
      </c>
      <c r="E34">
        <v>2605.591545666827</v>
      </c>
      <c r="F34">
        <v>4393.840426212947</v>
      </c>
      <c r="G34">
        <v>0</v>
      </c>
      <c r="H34">
        <v>1546.843178685583</v>
      </c>
      <c r="I34">
        <f>F34+G34-H34</f>
        <v>2846.9972475273635</v>
      </c>
      <c r="J34">
        <f>I34-D34</f>
        <v>0.0</v>
      </c>
      <c r="K34">
        <v>0</v>
      </c>
      <c r="L34">
        <f>E34</f>
        <v>2605.591545666827</v>
      </c>
      <c r="M34">
        <f>(1+$B$2)^((A34-$B$3)/365)</f>
        <v>1.8351709322544614</v>
      </c>
      <c r="N34">
        <f>IF(A34&lt;=$B$4,L34/M34,0)</f>
        <v>1419.808640095407</v>
      </c>
      <c r="O34">
        <f>IF(A34&lt;=$B$5,L34/M34,0)</f>
        <v>0</v>
      </c>
      <c r="P34">
        <f>IF(A34&lt;=$B$6,L34/M34,0)</f>
        <v>1419.808640095407</v>
      </c>
    </row>
    <row r="35" spans="1:16">
      <c r="A35" s="1">
        <v>52412</v>
      </c>
      <c r="B35" s="1">
        <v>52231</v>
      </c>
      <c r="C35">
        <v>27</v>
      </c>
      <c r="D35">
        <v>4322.201723611647</v>
      </c>
      <c r="E35">
        <v>3856.069794428378</v>
      </c>
      <c r="F35">
        <v>4322.201723611647</v>
      </c>
      <c r="G35">
        <v>0</v>
      </c>
      <c r="H35">
        <v>0</v>
      </c>
      <c r="I35">
        <f>F35+G35-H35</f>
        <v>4322.201723611647</v>
      </c>
      <c r="J35">
        <f>I35-D35</f>
        <v>0.0</v>
      </c>
      <c r="K35">
        <v>0</v>
      </c>
      <c r="L35">
        <f>E35</f>
        <v>3856.069794428378</v>
      </c>
      <c r="M35">
        <f>(1+$B$2)^((A35-$B$3)/365)</f>
        <v>1.8845479563307082</v>
      </c>
      <c r="N35">
        <f>IF(A35&lt;=$B$4,L35/M35,0)</f>
        <v>2046.1510578570276</v>
      </c>
      <c r="O35">
        <f>IF(A35&lt;=$B$5,L35/M35,0)</f>
        <v>0</v>
      </c>
      <c r="P35">
        <f>IF(A35&lt;=$B$6,L35/M35,0)</f>
        <v>2046.1510578570276</v>
      </c>
    </row>
    <row r="36" spans="1:16">
      <c r="A36" s="1">
        <v>52596</v>
      </c>
      <c r="B36" s="1">
        <v>52412</v>
      </c>
      <c r="C36">
        <v>28</v>
      </c>
      <c r="D36">
        <v>2896.908827119971</v>
      </c>
      <c r="E36">
        <v>2650.160526383259</v>
      </c>
      <c r="F36">
        <v>4493.100787438575</v>
      </c>
      <c r="G36">
        <v>0</v>
      </c>
      <c r="H36">
        <v>1596.191960318604</v>
      </c>
      <c r="I36">
        <f>F36+G36-H36</f>
        <v>2896.9088271199707</v>
      </c>
      <c r="J36">
        <f>I36-D36</f>
        <v>0.0</v>
      </c>
      <c r="K36">
        <v>0</v>
      </c>
      <c r="L36">
        <f>E36</f>
        <v>2650.160526383259</v>
      </c>
      <c r="M36">
        <f>(1+$B$2)^((A36-$B$3)/365)</f>
        <v>1.9361053335284566</v>
      </c>
      <c r="N36">
        <f>IF(A36&lt;=$B$4,L36/M36,0)</f>
        <v>1368.8100954473753</v>
      </c>
      <c r="O36">
        <f>IF(A36&lt;=$B$5,L36/M36,0)</f>
        <v>0</v>
      </c>
      <c r="P36">
        <f>IF(A36&lt;=$B$6,L36/M36,0)</f>
        <v>1368.8100954473753</v>
      </c>
    </row>
    <row r="37" spans="1:16">
      <c r="A37" s="1">
        <v>52778</v>
      </c>
      <c r="B37" s="1">
        <v>52596</v>
      </c>
      <c r="C37">
        <v>29</v>
      </c>
      <c r="D37">
        <v>4877.156049525137</v>
      </c>
      <c r="E37">
        <v>4354.754378005489</v>
      </c>
      <c r="F37">
        <v>4877.156049525137</v>
      </c>
      <c r="G37">
        <v>0</v>
      </c>
      <c r="H37">
        <v>0</v>
      </c>
      <c r="I37">
        <f>F37+G37-H37</f>
        <v>4877.156049525137</v>
      </c>
      <c r="J37">
        <f>I37-D37</f>
        <v>0.0</v>
      </c>
      <c r="K37">
        <v>0</v>
      </c>
      <c r="L37">
        <f>E37</f>
        <v>4354.754378005489</v>
      </c>
      <c r="M37">
        <f>(1+$B$2)^((A37-$B$3)/365)</f>
        <v>1.9884897581988348</v>
      </c>
      <c r="N37">
        <f>IF(A37&lt;=$B$4,L37/M37,0)</f>
        <v>2189.980793237782</v>
      </c>
      <c r="O37">
        <f>IF(A37&lt;=$B$5,L37/M37,0)</f>
        <v>0</v>
      </c>
      <c r="P37">
        <f>IF(A37&lt;=$B$6,L37/M37,0)</f>
        <v>2189.980793237782</v>
      </c>
    </row>
    <row r="38" spans="1:16">
      <c r="A38" s="1">
        <v>52962</v>
      </c>
      <c r="B38" s="1">
        <v>52778</v>
      </c>
      <c r="C38">
        <v>30</v>
      </c>
      <c r="D38">
        <v>3169.454068518808</v>
      </c>
      <c r="E38">
        <v>2895.192059159277</v>
      </c>
      <c r="F38">
        <v>5040.718644465821</v>
      </c>
      <c r="G38">
        <v>0</v>
      </c>
      <c r="H38">
        <v>1871.264575947013</v>
      </c>
      <c r="I38">
        <f>F38+G38-H38</f>
        <v>3169.454068518808</v>
      </c>
      <c r="J38">
        <f>I38-D38</f>
        <v>0.0</v>
      </c>
      <c r="K38">
        <v>0</v>
      </c>
      <c r="L38">
        <f>E38</f>
        <v>2895.192059159277</v>
      </c>
      <c r="M38">
        <f>(1+$B$2)^((A38-$B$3)/365)</f>
        <v>2.0428907704802786</v>
      </c>
      <c r="N38">
        <f>IF(A38&lt;=$B$4,L38/M38,0)</f>
        <v>1417.2035534130023</v>
      </c>
      <c r="O38">
        <f>IF(A38&lt;=$B$5,L38/M38,0)</f>
        <v>0</v>
      </c>
      <c r="P38">
        <f>IF(A38&lt;=$B$6,L38/M38,0)</f>
        <v>1417.2035534130023</v>
      </c>
    </row>
    <row r="39" spans="1:16">
      <c r="A39" s="1">
        <v>53143</v>
      </c>
      <c r="B39" s="1">
        <v>52962</v>
      </c>
      <c r="C39">
        <v>31</v>
      </c>
      <c r="D39">
        <v>4972.118036350248</v>
      </c>
      <c r="E39">
        <v>4439.624440917505</v>
      </c>
      <c r="F39">
        <v>4972.118036350248</v>
      </c>
      <c r="G39">
        <v>0</v>
      </c>
      <c r="H39">
        <v>0</v>
      </c>
      <c r="I39">
        <f>F39+G39-H39</f>
        <v>4972.118036350248</v>
      </c>
      <c r="J39">
        <f>I39-D39</f>
        <v>0.0</v>
      </c>
      <c r="K39">
        <v>0</v>
      </c>
      <c r="L39">
        <f>E39</f>
        <v>4439.624440917505</v>
      </c>
      <c r="M39">
        <f>(1+$B$2)^((A39-$B$3)/365)</f>
        <v>2.0978566948997703</v>
      </c>
      <c r="N39">
        <f>IF(A39&lt;=$B$4,L39/M39,0)</f>
        <v>2116.2667839566698</v>
      </c>
      <c r="O39">
        <f>IF(A39&lt;=$B$5,L39/M39,0)</f>
        <v>0</v>
      </c>
      <c r="P39">
        <f>IF(A39&lt;=$B$6,L39/M39,0)</f>
        <v>2116.2667839566698</v>
      </c>
    </row>
    <row r="40" spans="1:16">
      <c r="A40" s="1">
        <v>53327</v>
      </c>
      <c r="B40" s="1">
        <v>53143</v>
      </c>
      <c r="C40">
        <v>32</v>
      </c>
      <c r="D40">
        <v>3240.437613945457</v>
      </c>
      <c r="E40">
        <v>2958.614118857375</v>
      </c>
      <c r="F40">
        <v>5167.002961884878</v>
      </c>
      <c r="G40">
        <v>0</v>
      </c>
      <c r="H40">
        <v>1926.565347939421</v>
      </c>
      <c r="I40">
        <f>F40+G40-H40</f>
        <v>3240.437613945457</v>
      </c>
      <c r="J40">
        <f>I40-D40</f>
        <v>0.0</v>
      </c>
      <c r="K40">
        <v>0</v>
      </c>
      <c r="L40">
        <f>E40</f>
        <v>2958.6141188573747</v>
      </c>
      <c r="M40">
        <f>(1+$B$2)^((A40-$B$3)/365)</f>
        <v>2.155249762856694</v>
      </c>
      <c r="N40">
        <f>IF(A40&lt;=$B$4,L40/M40,0)</f>
        <v>1372.7476832828206</v>
      </c>
      <c r="O40">
        <f>IF(A40&lt;=$B$5,L40/M40,0)</f>
        <v>0</v>
      </c>
      <c r="P40">
        <f>IF(A40&lt;=$B$6,L40/M40,0)</f>
        <v>1372.7476832828206</v>
      </c>
    </row>
    <row r="41" spans="1:16">
      <c r="A41" s="1">
        <v>53508</v>
      </c>
      <c r="B41" s="1">
        <v>53327</v>
      </c>
      <c r="C41">
        <v>33</v>
      </c>
      <c r="D41">
        <v>5082.758348375884</v>
      </c>
      <c r="E41">
        <v>4538.495085904623</v>
      </c>
      <c r="F41">
        <v>5082.758348375884</v>
      </c>
      <c r="G41">
        <v>0</v>
      </c>
      <c r="H41">
        <v>0</v>
      </c>
      <c r="I41">
        <f>F41+G41-H41</f>
        <v>5082.7583483758835</v>
      </c>
      <c r="J41">
        <f>I41-D41</f>
        <v>0.0</v>
      </c>
      <c r="K41">
        <v>0</v>
      </c>
      <c r="L41">
        <f>E41</f>
        <v>4538.495085904623</v>
      </c>
      <c r="M41">
        <f>(1+$B$2)^((A41-$B$3)/365)</f>
        <v>2.2132388131192577</v>
      </c>
      <c r="N41">
        <f>IF(A41&lt;=$B$4,L41/M41,0)</f>
        <v>2050.612459442745</v>
      </c>
      <c r="O41">
        <f>IF(A41&lt;=$B$5,L41/M41,0)</f>
        <v>0</v>
      </c>
      <c r="P41">
        <f>IF(A41&lt;=$B$6,L41/M41,0)</f>
        <v>2050.612459442745</v>
      </c>
    </row>
    <row r="42" spans="1:16">
      <c r="A42" s="1">
        <v>53692</v>
      </c>
      <c r="B42" s="1">
        <v>53508</v>
      </c>
      <c r="C42">
        <v>34</v>
      </c>
      <c r="D42">
        <v>3298.662224662453</v>
      </c>
      <c r="E42">
        <v>3010.628442002471</v>
      </c>
      <c r="F42">
        <v>5281.726573823946</v>
      </c>
      <c r="G42">
        <v>0</v>
      </c>
      <c r="H42">
        <v>1983.064349161493</v>
      </c>
      <c r="I42">
        <f>F42+G42-H42</f>
        <v>3298.662224662453</v>
      </c>
      <c r="J42">
        <f>I42-D42</f>
        <v>0.0</v>
      </c>
      <c r="L42">
        <f>E42</f>
        <v>3010.6284420024713</v>
      </c>
      <c r="M42">
        <f>(1+$B$2)^((A42-$B$3)/365)</f>
        <v>2.273788499813812</v>
      </c>
      <c r="N42">
        <f>IF(A42&lt;=$B$4,L42/M42,0)</f>
        <v>0</v>
      </c>
      <c r="O42">
        <f>IF(A42&lt;=$B$5,L42/M42,0)</f>
        <v>0</v>
      </c>
      <c r="P42">
        <f>IF(A42&lt;=$B$6,L42/M42,0)</f>
        <v>1324.0582588261816</v>
      </c>
    </row>
    <row r="43" spans="1:16">
      <c r="A43" s="1">
        <v>53873</v>
      </c>
      <c r="B43" s="1">
        <v>53692</v>
      </c>
      <c r="C43">
        <v>35</v>
      </c>
      <c r="D43">
        <v>5195.611466642032</v>
      </c>
      <c r="E43">
        <v>4639.343143791481</v>
      </c>
      <c r="F43">
        <v>5195.611466642032</v>
      </c>
      <c r="G43">
        <v>0</v>
      </c>
      <c r="H43">
        <v>0</v>
      </c>
      <c r="I43">
        <f>F43+G43-H43</f>
        <v>5195.611466642032</v>
      </c>
      <c r="J43">
        <f>I43-D43</f>
        <v>0.0</v>
      </c>
      <c r="L43">
        <f>E43</f>
        <v>4639.343143791481</v>
      </c>
      <c r="M43">
        <f>(1+$B$2)^((A43-$B$3)/365)</f>
        <v>2.334966947840817</v>
      </c>
      <c r="N43">
        <f>IF(A43&lt;=$B$4,L43/M43,0)</f>
        <v>0</v>
      </c>
      <c r="O43">
        <f>IF(A43&lt;=$B$5,L43/M43,0)</f>
        <v>0</v>
      </c>
      <c r="P43">
        <f>IF(A43&lt;=$B$6,L43/M43,0)</f>
        <v>1986.8988501449921</v>
      </c>
    </row>
    <row r="44" spans="1:16">
      <c r="A44" s="1">
        <v>54057</v>
      </c>
      <c r="B44" s="1">
        <v>53873</v>
      </c>
      <c r="C44">
        <v>36</v>
      </c>
      <c r="D44">
        <v>3252.537503276367</v>
      </c>
      <c r="E44">
        <v>2958.167081829608</v>
      </c>
      <c r="F44">
        <v>5398.744658001794</v>
      </c>
      <c r="G44">
        <v>0</v>
      </c>
      <c r="H44">
        <v>2146.207154725427</v>
      </c>
      <c r="I44">
        <f>F44+G44-H44</f>
        <v>3252.5375032763673</v>
      </c>
      <c r="J44">
        <f>I44-D44</f>
        <v>0.0</v>
      </c>
      <c r="L44">
        <f>E44</f>
        <v>2958.1670818296084</v>
      </c>
      <c r="M44">
        <f>(1+$B$2)^((A44-$B$3)/365)</f>
        <v>2.3988468673035714</v>
      </c>
      <c r="N44">
        <f>IF(A44&lt;=$B$4,L44/M44,0)</f>
        <v>0</v>
      </c>
      <c r="O44">
        <f>IF(A44&lt;=$B$5,L44/M44,0)</f>
        <v>0</v>
      </c>
      <c r="P44">
        <f>IF(A44&lt;=$B$6,L44/M44,0)</f>
        <v>1233.1621172445834</v>
      </c>
    </row>
    <row r="45" spans="1:16">
      <c r="A45" s="1">
        <v>54239</v>
      </c>
      <c r="B45" s="1">
        <v>54057</v>
      </c>
      <c r="C45">
        <v>37</v>
      </c>
      <c r="D45">
        <v>5325.472315737989</v>
      </c>
      <c r="E45">
        <v>4755.379770208024</v>
      </c>
      <c r="F45">
        <v>5325.472315737989</v>
      </c>
      <c r="G45">
        <v>0</v>
      </c>
      <c r="H45">
        <v>0</v>
      </c>
      <c r="I45">
        <f>F45+G45-H45</f>
        <v>5325.4723157379885</v>
      </c>
      <c r="J45">
        <f>I45-D45</f>
        <v>0.0</v>
      </c>
      <c r="L45">
        <f>E45</f>
        <v>4755.379770208024</v>
      </c>
      <c r="M45">
        <f>(1+$B$2)^((A45-$B$3)/365)</f>
        <v>2.4637515038643434</v>
      </c>
      <c r="N45">
        <f>IF(A45&lt;=$B$4,L45/M45,0)</f>
        <v>0</v>
      </c>
      <c r="O45">
        <f>IF(A45&lt;=$B$5,L45/M45,0)</f>
        <v>0</v>
      </c>
      <c r="P45">
        <f>IF(A45&lt;=$B$6,L45/M45,0)</f>
        <v>1930.1377443095655</v>
      </c>
    </row>
    <row r="46" spans="1:16">
      <c r="A46" s="1">
        <v>54423</v>
      </c>
      <c r="B46" s="1">
        <v>54239</v>
      </c>
      <c r="C46">
        <v>38</v>
      </c>
      <c r="D46">
        <v>3179.663268087117</v>
      </c>
      <c r="E46">
        <v>2880.441034081591</v>
      </c>
      <c r="F46">
        <v>5503.026319426414</v>
      </c>
      <c r="G46">
        <v>0</v>
      </c>
      <c r="H46">
        <v>2323.363051339298</v>
      </c>
      <c r="I46">
        <f>F46+G46-H46</f>
        <v>3179.6632680871166</v>
      </c>
      <c r="J46">
        <f>I46-D46</f>
        <v>0.0</v>
      </c>
      <c r="L46">
        <f>E46</f>
        <v>2880.4410340815907</v>
      </c>
      <c r="M46">
        <f>(1+$B$2)^((A46-$B$3)/365)</f>
        <v>2.5311547053480434</v>
      </c>
      <c r="N46">
        <f>IF(A46&lt;=$B$4,L46/M46,0)</f>
        <v>0</v>
      </c>
      <c r="O46">
        <f>IF(A46&lt;=$B$5,L46/M46,0)</f>
        <v>0</v>
      </c>
      <c r="P46">
        <f>IF(A46&lt;=$B$6,L46/M46,0)</f>
        <v>1137.9948558638257</v>
      </c>
    </row>
    <row r="47" spans="1:16">
      <c r="A47" s="1">
        <v>54604</v>
      </c>
      <c r="B47" s="1">
        <v>54423</v>
      </c>
      <c r="C47">
        <v>39</v>
      </c>
      <c r="D47">
        <v>5428.134031517602</v>
      </c>
      <c r="E47">
        <v>4847.130482261568</v>
      </c>
      <c r="F47">
        <v>5428.134031517602</v>
      </c>
      <c r="G47">
        <v>0</v>
      </c>
      <c r="H47">
        <v>0</v>
      </c>
      <c r="I47">
        <f>F47+G47-H47</f>
        <v>5428.134031517602</v>
      </c>
      <c r="J47">
        <f>I47-D47</f>
        <v>0.0</v>
      </c>
      <c r="L47">
        <f>E47</f>
        <v>4847.1304822615675</v>
      </c>
      <c r="M47">
        <f>(1+$B$2)^((A47-$B$3)/365)</f>
        <v>2.5992578365768817</v>
      </c>
      <c r="N47">
        <f>IF(A47&lt;=$B$4,L47/M47,0)</f>
        <v>0</v>
      </c>
      <c r="O47">
        <f>IF(A47&lt;=$B$5,L47/M47,0)</f>
        <v>0</v>
      </c>
      <c r="P47">
        <f>IF(A47&lt;=$B$6,L47/M47,0)</f>
        <v>1864.8132609441486</v>
      </c>
    </row>
    <row r="48" spans="1:16">
      <c r="A48" s="1">
        <v>54788</v>
      </c>
      <c r="B48" s="1">
        <v>54604</v>
      </c>
      <c r="C48">
        <v>40</v>
      </c>
      <c r="D48">
        <v>3247.687615864504</v>
      </c>
      <c r="E48">
        <v>2940.267749837783</v>
      </c>
      <c r="F48">
        <v>5639.848718641833</v>
      </c>
      <c r="G48">
        <v>0</v>
      </c>
      <c r="H48">
        <v>2392.16110277733</v>
      </c>
      <c r="I48">
        <f>F48+G48-H48</f>
        <v>3247.6876158645036</v>
      </c>
      <c r="J48">
        <f>I48-D48</f>
        <v>0.0</v>
      </c>
      <c r="L48">
        <f>E48</f>
        <v>2940.2677498377834</v>
      </c>
      <c r="M48">
        <f>(1+$B$2)^((A48-$B$3)/365)</f>
        <v>2.6703682141421856</v>
      </c>
      <c r="N48">
        <f>IF(A48&lt;=$B$4,L48/M48,0)</f>
        <v>0</v>
      </c>
      <c r="O48">
        <f>IF(A48&lt;=$B$5,L48/M48,0)</f>
        <v>0</v>
      </c>
      <c r="P48">
        <f>IF(A48&lt;=$B$6,L48/M48,0)</f>
        <v>1101.0720297920782</v>
      </c>
    </row>
    <row r="49" spans="1:16">
      <c r="A49" s="1">
        <v>54969</v>
      </c>
      <c r="B49" s="1">
        <v>54788</v>
      </c>
      <c r="C49">
        <v>41</v>
      </c>
      <c r="D49">
        <v>5547.894663446586</v>
      </c>
      <c r="E49">
        <v>4954.151248075567</v>
      </c>
      <c r="F49">
        <v>5547.894663446586</v>
      </c>
      <c r="G49">
        <v>0</v>
      </c>
      <c r="H49">
        <v>0</v>
      </c>
      <c r="I49">
        <f>F49+G49-H49</f>
        <v>5547.8946634465865</v>
      </c>
      <c r="J49">
        <f>I49-D49</f>
        <v>0.0</v>
      </c>
      <c r="L49">
        <f>E49</f>
        <v>4954.151248075567</v>
      </c>
      <c r="M49">
        <f>(1+$B$2)^((A49-$B$3)/365)</f>
        <v>2.7422170175886103</v>
      </c>
      <c r="N49">
        <f>IF(A49&lt;=$B$4,L49/M49,0)</f>
        <v>0</v>
      </c>
      <c r="O49">
        <f>IF(A49&lt;=$B$5,L49/M49,0)</f>
        <v>0</v>
      </c>
      <c r="P49">
        <f>IF(A49&lt;=$B$6,L49/M49,0)</f>
        <v>1806.622603645002</v>
      </c>
    </row>
    <row r="50" spans="1:16">
      <c r="A50" s="1">
        <v>55153</v>
      </c>
      <c r="B50" s="1">
        <v>54969</v>
      </c>
      <c r="C50">
        <v>42</v>
      </c>
      <c r="D50">
        <v>3310.879544883163</v>
      </c>
      <c r="E50">
        <v>2996.737463865772</v>
      </c>
      <c r="F50">
        <v>5764.02924571604</v>
      </c>
      <c r="G50">
        <v>0</v>
      </c>
      <c r="H50">
        <v>2453.149700832877</v>
      </c>
      <c r="I50">
        <f>F50+G50-H50</f>
        <v>3310.8795448831634</v>
      </c>
      <c r="J50">
        <f>I50-D50</f>
        <v>0.0</v>
      </c>
      <c r="L50">
        <f>E50</f>
        <v>2996.7374638657716</v>
      </c>
      <c r="M50">
        <f>(1+$B$2)^((A50-$B$3)/365)</f>
        <v>2.8172384659200054</v>
      </c>
      <c r="N50">
        <f>IF(A50&lt;=$B$4,L50/M50,0)</f>
        <v>0</v>
      </c>
      <c r="O50">
        <f>IF(A50&lt;=$B$5,L50/M50,0)</f>
        <v>0</v>
      </c>
      <c r="P50">
        <f>IF(A50&lt;=$B$6,L50/M50,0)</f>
        <v>1063.7145204842107</v>
      </c>
    </row>
    <row r="51" spans="1:16">
      <c r="A51" s="1">
        <v>55334</v>
      </c>
      <c r="B51" s="1">
        <v>55153</v>
      </c>
      <c r="C51">
        <v>43</v>
      </c>
      <c r="D51">
        <v>5670.050508014147</v>
      </c>
      <c r="E51">
        <v>5063.312429205845</v>
      </c>
      <c r="F51">
        <v>5670.050508014147</v>
      </c>
      <c r="G51">
        <v>0</v>
      </c>
      <c r="H51">
        <v>0</v>
      </c>
      <c r="I51">
        <f>F51+G51-H51</f>
        <v>5670.0505080141465</v>
      </c>
      <c r="J51">
        <f>I51-D51</f>
        <v>0.0</v>
      </c>
      <c r="L51">
        <f>E51</f>
        <v>5063.312429205845</v>
      </c>
      <c r="M51">
        <f>(1+$B$2)^((A51-$B$3)/365)</f>
        <v>2.8930389535559837</v>
      </c>
      <c r="N51">
        <f>IF(A51&lt;=$B$4,L51/M51,0)</f>
        <v>0</v>
      </c>
      <c r="O51">
        <f>IF(A51&lt;=$B$5,L51/M51,0)</f>
        <v>0</v>
      </c>
      <c r="P51">
        <f>IF(A51&lt;=$B$6,L51/M51,0)</f>
        <v>1750.1708447382866</v>
      </c>
    </row>
    <row r="52" spans="1:16">
      <c r="A52" s="1">
        <v>55518</v>
      </c>
      <c r="B52" s="1">
        <v>55334</v>
      </c>
      <c r="C52">
        <v>44</v>
      </c>
      <c r="D52">
        <v>3375.354373307957</v>
      </c>
      <c r="E52">
        <v>3054.353293263961</v>
      </c>
      <c r="F52">
        <v>5890.693383331732</v>
      </c>
      <c r="G52">
        <v>0</v>
      </c>
      <c r="H52">
        <v>2515.339010023775</v>
      </c>
      <c r="I52">
        <f>F52+G52-H52</f>
        <v>3375.354373307957</v>
      </c>
      <c r="J52">
        <f>I52-D52</f>
        <v>0.0</v>
      </c>
      <c r="L52">
        <f>E52</f>
        <v>3054.353293263961</v>
      </c>
      <c r="M52">
        <f>(1+$B$2)^((A52-$B$3)/365)</f>
        <v>2.9721865815456057</v>
      </c>
      <c r="N52">
        <f>IF(A52&lt;=$B$4,L52/M52,0)</f>
        <v>0</v>
      </c>
      <c r="O52">
        <f>IF(A52&lt;=$B$5,L52/M52,0)</f>
        <v>0</v>
      </c>
      <c r="P52">
        <f>IF(A52&lt;=$B$6,L52/M52,0)</f>
        <v>1027.6452064714008</v>
      </c>
    </row>
    <row r="53" spans="1:16">
      <c r="A53" s="1">
        <v>55700</v>
      </c>
      <c r="B53" s="1">
        <v>55518</v>
      </c>
      <c r="C53">
        <v>45</v>
      </c>
      <c r="D53">
        <v>5810.744260137902</v>
      </c>
      <c r="E53">
        <v>5189.029578840661</v>
      </c>
      <c r="F53">
        <v>5810.744260137902</v>
      </c>
      <c r="G53">
        <v>0</v>
      </c>
      <c r="H53">
        <v>0</v>
      </c>
      <c r="I53">
        <f>F53+G53-H53</f>
        <v>5810.744260137902</v>
      </c>
      <c r="J53">
        <f>I53-D53</f>
        <v>0.0</v>
      </c>
      <c r="L53">
        <f>E53</f>
        <v>5189.029578840661</v>
      </c>
      <c r="M53">
        <f>(1+$B$2)^((A53-$B$3)/365)</f>
        <v>3.0526038405609173</v>
      </c>
      <c r="N53">
        <f>IF(A53&lt;=$B$4,L53/M53,0)</f>
        <v>0</v>
      </c>
      <c r="O53">
        <f>IF(A53&lt;=$B$5,L53/M53,0)</f>
        <v>0</v>
      </c>
      <c r="P53">
        <f>IF(A53&lt;=$B$6,L53/M53,0)</f>
        <v>1699.8699634365837</v>
      </c>
    </row>
    <row r="54" spans="1:16">
      <c r="A54" s="1">
        <v>55884</v>
      </c>
      <c r="B54" s="1">
        <v>55700</v>
      </c>
      <c r="C54">
        <v>46</v>
      </c>
      <c r="D54">
        <v>3424.70159513038</v>
      </c>
      <c r="E54">
        <v>3098.461611247205</v>
      </c>
      <c r="F54">
        <v>6003.443014618588</v>
      </c>
      <c r="G54">
        <v>0</v>
      </c>
      <c r="H54">
        <v>2578.741419488208</v>
      </c>
      <c r="I54">
        <f>F54+G54-H54</f>
        <v>3424.7015951303797</v>
      </c>
      <c r="J54">
        <f>I54-D54</f>
        <v>0.0</v>
      </c>
      <c r="L54">
        <f>E54</f>
        <v>3098.4616112472054</v>
      </c>
      <c r="M54">
        <f>(1+$B$2)^((A54-$B$3)/365)</f>
        <v>3.13611683746524</v>
      </c>
      <c r="N54">
        <f>IF(A54&lt;=$B$4,L54/M54,0)</f>
        <v>0</v>
      </c>
      <c r="O54">
        <f>IF(A54&lt;=$B$5,L54/M54,0)</f>
        <v>0</v>
      </c>
      <c r="P54">
        <f>IF(A54&lt;=$B$6,L54/M54,0)</f>
        <v>987.9930410218806</v>
      </c>
    </row>
    <row r="55" spans="1:16">
      <c r="A55" s="1">
        <v>56065</v>
      </c>
      <c r="B55" s="1">
        <v>55884</v>
      </c>
      <c r="C55">
        <v>47</v>
      </c>
      <c r="D55">
        <v>5921.740410161152</v>
      </c>
      <c r="E55">
        <v>5288.228126806671</v>
      </c>
      <c r="F55">
        <v>5921.740410161152</v>
      </c>
      <c r="G55">
        <v>0</v>
      </c>
      <c r="H55">
        <v>0</v>
      </c>
      <c r="I55">
        <f>F55+G55-H55</f>
        <v>5921.740410161152</v>
      </c>
      <c r="J55">
        <f>I55-D55</f>
        <v>0.0</v>
      </c>
      <c r="L55">
        <f>E55</f>
        <v>5288.228126806671</v>
      </c>
      <c r="M55">
        <f>(1+$B$2)^((A55-$B$3)/365)</f>
        <v>3.2204970517917673</v>
      </c>
      <c r="N55">
        <f>IF(A55&lt;=$B$4,L55/M55,0)</f>
        <v>0</v>
      </c>
      <c r="O55">
        <f>IF(A55&lt;=$B$5,L55/M55,0)</f>
        <v>0</v>
      </c>
      <c r="P55">
        <f>IF(A55&lt;=$B$6,L55/M55,0)</f>
        <v>1642.053397895363</v>
      </c>
    </row>
    <row r="56" spans="1:16">
      <c r="A56" s="1">
        <v>56249</v>
      </c>
      <c r="B56" s="1">
        <v>56065</v>
      </c>
      <c r="C56">
        <v>48</v>
      </c>
      <c r="D56">
        <v>3508.139976043245</v>
      </c>
      <c r="E56">
        <v>3173.013774933253</v>
      </c>
      <c r="F56">
        <v>6151.672172475101</v>
      </c>
      <c r="G56">
        <v>0</v>
      </c>
      <c r="H56">
        <v>2643.532196431856</v>
      </c>
      <c r="I56">
        <f>F56+G56-H56</f>
        <v>3508.1399760432446</v>
      </c>
      <c r="J56">
        <f>I56-D56</f>
        <v>0.0</v>
      </c>
      <c r="L56">
        <f>E56</f>
        <v>3173.013774933253</v>
      </c>
      <c r="M56">
        <f>(1+$B$2)^((A56-$B$3)/365)</f>
        <v>3.3086032635258285</v>
      </c>
      <c r="N56">
        <f>IF(A56&lt;=$B$4,L56/M56,0)</f>
        <v>0</v>
      </c>
      <c r="O56">
        <f>IF(A56&lt;=$B$5,L56/M56,0)</f>
        <v>0</v>
      </c>
      <c r="P56">
        <f>IF(A56&lt;=$B$6,L56/M56,0)</f>
        <v>959.019115381007</v>
      </c>
    </row>
    <row r="57" spans="1:16">
      <c r="A57" s="1">
        <v>56430</v>
      </c>
      <c r="B57" s="1">
        <v>56249</v>
      </c>
      <c r="C57">
        <v>49</v>
      </c>
      <c r="D57">
        <v>6051.373169663004</v>
      </c>
      <c r="E57">
        <v>5404.070845511571</v>
      </c>
      <c r="F57">
        <v>6051.373169663004</v>
      </c>
      <c r="G57">
        <v>0</v>
      </c>
      <c r="H57">
        <v>0</v>
      </c>
      <c r="I57">
        <f>F57+G57-H57</f>
        <v>6051.373169663004</v>
      </c>
      <c r="J57">
        <f>I57-D57</f>
        <v>0.0</v>
      </c>
      <c r="L57">
        <f>E57</f>
        <v>5404.070845511571</v>
      </c>
      <c r="M57">
        <f>(1+$B$2)^((A57-$B$3)/365)</f>
        <v>3.3976243896403147</v>
      </c>
      <c r="N57">
        <f>IF(A57&lt;=$B$4,L57/M57,0)</f>
        <v>0</v>
      </c>
      <c r="O57">
        <f>IF(A57&lt;=$B$5,L57/M57,0)</f>
        <v>0</v>
      </c>
      <c r="P57">
        <f>IF(A57&lt;=$B$6,L57/M57,0)</f>
        <v>1590.543928866624</v>
      </c>
    </row>
    <row r="58" spans="1:16">
      <c r="A58" s="1">
        <v>56614</v>
      </c>
      <c r="B58" s="1">
        <v>56430</v>
      </c>
      <c r="C58">
        <v>50</v>
      </c>
      <c r="D58">
        <v>3576.54095226548</v>
      </c>
      <c r="E58">
        <v>3234.138409463151</v>
      </c>
      <c r="F58">
        <v>6286.089168625973</v>
      </c>
      <c r="G58">
        <v>0</v>
      </c>
      <c r="H58">
        <v>2709.548216360493</v>
      </c>
      <c r="I58">
        <f>F58+G58-H58</f>
        <v>3576.54095226548</v>
      </c>
      <c r="J58">
        <f>I58-D58</f>
        <v>0.0</v>
      </c>
      <c r="L58">
        <f>E58</f>
        <v>3234.138409463151</v>
      </c>
      <c r="M58">
        <f>(1+$B$2)^((A58-$B$3)/365)</f>
        <v>3.490576443019749</v>
      </c>
      <c r="N58">
        <f>IF(A58&lt;=$B$4,L58/M58,0)</f>
        <v>0</v>
      </c>
      <c r="O58">
        <f>IF(A58&lt;=$B$5,L58/M58,0)</f>
        <v>0</v>
      </c>
      <c r="P58">
        <f>IF(A58&lt;=$B$6,L58/M58,0)</f>
        <v>926.5341877644859</v>
      </c>
    </row>
    <row r="59" spans="1:16">
      <c r="A59" s="1">
        <v>56795</v>
      </c>
      <c r="B59" s="1">
        <v>56614</v>
      </c>
      <c r="C59">
        <v>51</v>
      </c>
      <c r="D59">
        <v>6183.598584354895</v>
      </c>
      <c r="E59">
        <v>5522.23041859057</v>
      </c>
      <c r="F59">
        <v>6183.598584354895</v>
      </c>
      <c r="G59">
        <v>0</v>
      </c>
      <c r="H59">
        <v>0</v>
      </c>
      <c r="I59">
        <f>F59+G59-H59</f>
        <v>6183.598584354895</v>
      </c>
      <c r="J59">
        <f>I59-D59</f>
        <v>0.0</v>
      </c>
      <c r="L59">
        <f>E59</f>
        <v>5522.2304185905705</v>
      </c>
      <c r="M59">
        <f>(1+$B$2)^((A59-$B$3)/365)</f>
        <v>3.5844937310705314</v>
      </c>
      <c r="N59">
        <f>IF(A59&lt;=$B$4,L59/M59,0)</f>
        <v>0</v>
      </c>
      <c r="O59">
        <f>IF(A59&lt;=$B$5,L59/M59,0)</f>
        <v>0</v>
      </c>
      <c r="P59">
        <f>IF(A59&lt;=$B$6,L59/M59,0)</f>
        <v>1540.588666880252</v>
      </c>
    </row>
    <row r="60" spans="1:16">
      <c r="A60" s="1">
        <v>56979</v>
      </c>
      <c r="B60" s="1">
        <v>56795</v>
      </c>
      <c r="C60">
        <v>52</v>
      </c>
      <c r="D60">
        <v>3646.330985632887</v>
      </c>
      <c r="E60">
        <v>3296.504024281263</v>
      </c>
      <c r="F60">
        <v>6423.194504699863</v>
      </c>
      <c r="G60">
        <v>0</v>
      </c>
      <c r="H60">
        <v>2776.863519066975</v>
      </c>
      <c r="I60">
        <f>F60+G60-H60</f>
        <v>3646.3309856328874</v>
      </c>
      <c r="J60">
        <f>I60-D60</f>
        <v>0.0</v>
      </c>
      <c r="L60">
        <f>E60</f>
        <v>3296.504024281263</v>
      </c>
      <c r="M60">
        <f>(1+$B$2)^((A60-$B$3)/365)</f>
        <v>3.682558147385835</v>
      </c>
      <c r="N60">
        <f>IF(A60&lt;=$B$4,L60/M60,0)</f>
        <v>0</v>
      </c>
      <c r="O60">
        <f>IF(A60&lt;=$B$5,L60/M60,0)</f>
        <v>0</v>
      </c>
      <c r="P60">
        <f>IF(A60&lt;=$B$6,L60/M60,0)</f>
        <v>895.1668629106039</v>
      </c>
    </row>
    <row r="61" spans="1:16">
      <c r="A61" s="1">
        <v>57161</v>
      </c>
      <c r="B61" s="1">
        <v>56979</v>
      </c>
      <c r="C61">
        <v>53</v>
      </c>
      <c r="D61">
        <v>6336.018219102099</v>
      </c>
      <c r="E61">
        <v>5658.426077882472</v>
      </c>
      <c r="F61">
        <v>6336.018219102099</v>
      </c>
      <c r="G61">
        <v>0</v>
      </c>
      <c r="H61">
        <v>0</v>
      </c>
      <c r="I61">
        <f>F61+G61-H61</f>
        <v>6336.0182191020995</v>
      </c>
      <c r="J61">
        <f>I61-D61</f>
        <v>0.0</v>
      </c>
      <c r="L61">
        <f>E61</f>
        <v>5658.426077882472</v>
      </c>
      <c r="M61">
        <f>(1+$B$2)^((A61-$B$3)/365)</f>
        <v>3.7821956446466136</v>
      </c>
      <c r="N61">
        <f>IF(A61&lt;=$B$4,L61/M61,0)</f>
        <v>0</v>
      </c>
      <c r="O61">
        <f>IF(A61&lt;=$B$5,L61/M61,0)</f>
        <v>0</v>
      </c>
      <c r="P61">
        <f>IF(A61&lt;=$B$6,L61/M61,0)</f>
        <v>1496.0691115731963</v>
      </c>
    </row>
    <row r="62" spans="1:16">
      <c r="A62" s="1">
        <v>57345</v>
      </c>
      <c r="B62" s="1">
        <v>57161</v>
      </c>
      <c r="C62">
        <v>54</v>
      </c>
      <c r="D62">
        <v>3547.975411723524</v>
      </c>
      <c r="E62">
        <v>3192.490546481947</v>
      </c>
      <c r="F62">
        <v>6545.110138895516</v>
      </c>
      <c r="G62">
        <v>0</v>
      </c>
      <c r="H62">
        <v>2997.134727171991</v>
      </c>
      <c r="I62">
        <f>F62+G62-H62</f>
        <v>3547.9754117235243</v>
      </c>
      <c r="J62">
        <f>I62-D62</f>
        <v>0.0</v>
      </c>
      <c r="L62">
        <f>E62</f>
        <v>3192.4905464819467</v>
      </c>
      <c r="M62">
        <f>(1+$B$2)^((A62-$B$3)/365)</f>
        <v>3.885668780913413</v>
      </c>
      <c r="N62">
        <f>IF(A62&lt;=$B$4,L62/M62,0)</f>
        <v>0</v>
      </c>
      <c r="O62">
        <f>IF(A62&lt;=$B$5,L62/M62,0)</f>
        <v>0</v>
      </c>
      <c r="P62">
        <f>IF(A62&lt;=$B$6,L62/M62,0)</f>
        <v>821.6064534794139</v>
      </c>
    </row>
    <row r="63" spans="1:16">
      <c r="A63" s="1">
        <v>57526</v>
      </c>
      <c r="B63" s="1">
        <v>57345</v>
      </c>
      <c r="C63">
        <v>55</v>
      </c>
      <c r="D63">
        <v>6456.035828786066</v>
      </c>
      <c r="E63">
        <v>5765.686402962539</v>
      </c>
      <c r="F63">
        <v>6456.035828786066</v>
      </c>
      <c r="G63">
        <v>0</v>
      </c>
      <c r="H63">
        <v>0</v>
      </c>
      <c r="I63">
        <f>F63+G63-H63</f>
        <v>6456.035828786066</v>
      </c>
      <c r="J63">
        <f>I63-D63</f>
        <v>0.0</v>
      </c>
      <c r="L63">
        <f>E63</f>
        <v>5765.686402962539</v>
      </c>
      <c r="M63">
        <f>(1+$B$2)^((A63-$B$3)/365)</f>
        <v>3.9902164051021773</v>
      </c>
      <c r="N63">
        <f>IF(A63&lt;=$B$4,L63/M63,0)</f>
        <v>0</v>
      </c>
      <c r="O63">
        <f>IF(A63&lt;=$B$5,L63/M63,0)</f>
        <v>0</v>
      </c>
      <c r="P63">
        <f>IF(A63&lt;=$B$6,L63/M63,0)</f>
        <v>1444.955816328688</v>
      </c>
    </row>
    <row r="64" spans="1:16">
      <c r="A64" s="1">
        <v>57710</v>
      </c>
      <c r="B64" s="1">
        <v>57526</v>
      </c>
      <c r="C64">
        <v>56</v>
      </c>
      <c r="D64">
        <v>3490.061986848619</v>
      </c>
      <c r="E64">
        <v>3124.945557608757</v>
      </c>
      <c r="F64">
        <v>6705.686339146505</v>
      </c>
      <c r="G64">
        <v>0</v>
      </c>
      <c r="H64">
        <v>3215.624352297886</v>
      </c>
      <c r="I64">
        <f>F64+G64-H64</f>
        <v>3490.0619868486187</v>
      </c>
      <c r="J64">
        <f>I64-D64</f>
        <v>0.0</v>
      </c>
      <c r="L64">
        <f>E64</f>
        <v>3124.9455576087566</v>
      </c>
      <c r="M64">
        <f>(1+$B$2)^((A64-$B$3)/365)</f>
        <v>4.099380563863651</v>
      </c>
      <c r="N64">
        <f>IF(A64&lt;=$B$4,L64/M64,0)</f>
        <v>0</v>
      </c>
      <c r="O64">
        <f>IF(A64&lt;=$B$5,L64/M64,0)</f>
        <v>0</v>
      </c>
      <c r="P64">
        <f>IF(A64&lt;=$B$6,L64/M64,0)</f>
        <v>762.297012664642</v>
      </c>
    </row>
    <row r="65" spans="1:16">
      <c r="A65" s="1">
        <v>57891</v>
      </c>
      <c r="B65" s="1">
        <v>57710</v>
      </c>
      <c r="C65">
        <v>57</v>
      </c>
      <c r="D65">
        <v>4993.363160739016</v>
      </c>
      <c r="E65">
        <v>4463.431865225751</v>
      </c>
      <c r="F65">
        <v>6596.354496660418</v>
      </c>
      <c r="G65">
        <v>0</v>
      </c>
      <c r="H65">
        <v>1602.991335921401</v>
      </c>
      <c r="I65">
        <f>F65+G65-H65</f>
        <v>4993.363160739016</v>
      </c>
      <c r="J65">
        <f>I65-D65</f>
        <v>0.0</v>
      </c>
      <c r="L65">
        <f>E65</f>
        <v>4463.431865225751</v>
      </c>
      <c r="M65">
        <f>(1+$B$2)^((A65-$B$3)/365)</f>
        <v>4.209678307382797</v>
      </c>
      <c r="N65">
        <f>IF(A65&lt;=$B$4,L65/M65,0)</f>
        <v>0</v>
      </c>
      <c r="O65">
        <f>IF(A65&lt;=$B$5,L65/M65,0)</f>
        <v>0</v>
      </c>
      <c r="P65">
        <f>IF(A65&lt;=$B$6,L65/M65,0)</f>
        <v>1060.2786102201512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15">
      <c r="A1" t="s">
        <v>41</v>
      </c>
      <c r="B1">
        <v>0.08</v>
      </c>
      <c r="C1" t="s">
        <v>42</v>
      </c>
      <c r="D1">
        <v>0.12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</row>
    <row r="4" spans="1:15">
      <c r="A4" s="1">
        <v>47664</v>
      </c>
      <c r="B4">
        <v>41200</v>
      </c>
      <c r="C4">
        <v>0</v>
      </c>
      <c r="D4">
        <v>0</v>
      </c>
      <c r="E4">
        <v>0</v>
      </c>
      <c r="F4">
        <f>-B4+C4-D4+E4</f>
        <v>-41200.0</v>
      </c>
      <c r="G4">
        <f>F4/((1+$B$1)^((A4-$A$4)/365))</f>
        <v>-41200.0</v>
      </c>
      <c r="H4" s="1">
        <v>47484</v>
      </c>
      <c r="I4">
        <v>500</v>
      </c>
      <c r="J4">
        <v>11668.38598649466</v>
      </c>
      <c r="K4">
        <v>0</v>
      </c>
      <c r="L4">
        <v>0</v>
      </c>
      <c r="M4">
        <v>0</v>
      </c>
      <c r="N4">
        <f>-I4-J4+K4+L4+M4</f>
        <v>-12168.385986494664</v>
      </c>
      <c r="O4">
        <f>N4/((1+$D$1)^((H4-$H$4)/365))</f>
        <v>-12168.385986494664</v>
      </c>
    </row>
    <row r="5" spans="1:15">
      <c r="A5" s="1">
        <v>47848</v>
      </c>
      <c r="B5">
        <v>1800</v>
      </c>
      <c r="C5">
        <v>0</v>
      </c>
      <c r="D5">
        <v>0</v>
      </c>
      <c r="E5">
        <v>0</v>
      </c>
      <c r="F5">
        <f>-B5+C5-D5+E5</f>
        <v>-1800.0</v>
      </c>
      <c r="G5">
        <f>F5/((1+$B$1)^((A5-$A$4)/365))</f>
        <v>-1731.5030841894552</v>
      </c>
      <c r="H5" s="1">
        <v>47665</v>
      </c>
      <c r="I5">
        <v>0</v>
      </c>
      <c r="J5">
        <v>0</v>
      </c>
      <c r="K5">
        <v>0</v>
      </c>
      <c r="L5">
        <v>0</v>
      </c>
      <c r="M5">
        <v>0</v>
      </c>
      <c r="N5">
        <f>-I5-J5+K5+L5+M5</f>
        <v>0.0</v>
      </c>
      <c r="O5">
        <f>N5/((1+$D$1)^((H5-$H$4)/365))</f>
        <v>0.0</v>
      </c>
    </row>
    <row r="6" spans="1:15">
      <c r="A6" s="1">
        <v>48029</v>
      </c>
      <c r="B6">
        <v>0</v>
      </c>
      <c r="C6">
        <v>0</v>
      </c>
      <c r="D6">
        <v>0</v>
      </c>
      <c r="E6">
        <v>0</v>
      </c>
      <c r="F6">
        <f>-B6+C6-D6+E6</f>
        <v>0.0</v>
      </c>
      <c r="G6">
        <f>F6/((1+$B$1)^((A6-$A$4)/365))</f>
        <v>0.0</v>
      </c>
      <c r="H6" s="1">
        <v>47849</v>
      </c>
      <c r="I6">
        <v>0</v>
      </c>
      <c r="J6">
        <v>0</v>
      </c>
      <c r="K6">
        <v>0</v>
      </c>
      <c r="L6">
        <v>0</v>
      </c>
      <c r="M6">
        <v>0</v>
      </c>
      <c r="N6">
        <f>-I6-J6+K6+L6+M6</f>
        <v>0.0</v>
      </c>
      <c r="O6">
        <f>N6/((1+$D$1)^((H6-$H$4)/365))</f>
        <v>0.0</v>
      </c>
    </row>
    <row r="7" spans="1:15">
      <c r="A7" s="1">
        <v>48091</v>
      </c>
      <c r="B7">
        <v>0</v>
      </c>
      <c r="C7">
        <v>0</v>
      </c>
      <c r="D7">
        <v>0</v>
      </c>
      <c r="E7">
        <v>0</v>
      </c>
      <c r="F7">
        <f>-B7+C7-D7+E7</f>
        <v>0.0</v>
      </c>
      <c r="G7">
        <f>F7/((1+$B$1)^((A7-$A$4)/365))</f>
        <v>0.0</v>
      </c>
      <c r="H7" s="1">
        <v>48030</v>
      </c>
      <c r="I7">
        <v>0</v>
      </c>
      <c r="J7">
        <v>0</v>
      </c>
      <c r="K7">
        <v>0</v>
      </c>
      <c r="L7">
        <v>0</v>
      </c>
      <c r="M7">
        <v>0</v>
      </c>
      <c r="N7">
        <f>-I7-J7+K7+L7+M7</f>
        <v>0.0</v>
      </c>
      <c r="O7">
        <f>N7/((1+$D$1)^((H7-$H$4)/365))</f>
        <v>0.0</v>
      </c>
    </row>
    <row r="8" spans="1:15">
      <c r="A8" s="1">
        <v>48213</v>
      </c>
      <c r="B8">
        <v>0</v>
      </c>
      <c r="C8">
        <v>2269.196256438356</v>
      </c>
      <c r="D8">
        <v>378.1735324679991</v>
      </c>
      <c r="E8">
        <v>0</v>
      </c>
      <c r="F8">
        <f>-B8+C8-D8+E8</f>
        <v>1891.0227239703572</v>
      </c>
      <c r="G8">
        <f>F8/((1+$B$1)^((A8-$A$4)/365))</f>
        <v>1684.3167072155443</v>
      </c>
      <c r="H8" s="1">
        <v>48213</v>
      </c>
      <c r="I8">
        <v>0</v>
      </c>
      <c r="J8">
        <v>0</v>
      </c>
      <c r="K8">
        <v>197.5089846570717</v>
      </c>
      <c r="L8">
        <v>312.0094444607888</v>
      </c>
      <c r="M8">
        <v>0</v>
      </c>
      <c r="N8">
        <f>-I8-J8+K8+L8+M8</f>
        <v>509.5184291178605</v>
      </c>
      <c r="O8">
        <f>N8/((1+$D$1)^((H8-$H$4)/365))</f>
        <v>406.31110796181747</v>
      </c>
    </row>
    <row r="9" spans="1:15">
      <c r="A9" s="1">
        <v>48395</v>
      </c>
      <c r="B9">
        <v>0</v>
      </c>
      <c r="C9">
        <v>3375.945250273223</v>
      </c>
      <c r="D9">
        <v>0</v>
      </c>
      <c r="E9">
        <v>0</v>
      </c>
      <c r="F9">
        <f>-B9+C9-D9+E9</f>
        <v>3375.9452502732233</v>
      </c>
      <c r="G9">
        <f>F9/((1+$B$1)^((A9-$A$4)/365))</f>
        <v>2893.7187070812256</v>
      </c>
      <c r="H9" s="1">
        <v>48395</v>
      </c>
      <c r="I9">
        <v>0</v>
      </c>
      <c r="J9">
        <v>0</v>
      </c>
      <c r="K9">
        <v>402.5927789707763</v>
      </c>
      <c r="L9">
        <v>464.1849725774927</v>
      </c>
      <c r="M9">
        <v>0</v>
      </c>
      <c r="N9">
        <f>-I9-J9+K9+L9+M9</f>
        <v>866.777751548269</v>
      </c>
      <c r="O9">
        <f>N9/((1+$D$1)^((H9-$H$4)/365))</f>
        <v>653.2282593173496</v>
      </c>
    </row>
    <row r="10" spans="1:15">
      <c r="A10" s="1">
        <v>48579</v>
      </c>
      <c r="B10">
        <v>0</v>
      </c>
      <c r="C10">
        <v>3492.656870819672</v>
      </c>
      <c r="D10">
        <v>1142.267397586047</v>
      </c>
      <c r="E10">
        <v>0</v>
      </c>
      <c r="F10">
        <f>-B10+C10-D10+E10</f>
        <v>2350.3894732336257</v>
      </c>
      <c r="G10">
        <f>F10/((1+$B$1)^((A10-$A$4)/365))</f>
        <v>1937.9899243391753</v>
      </c>
      <c r="H10" s="1">
        <v>48579</v>
      </c>
      <c r="I10">
        <v>0</v>
      </c>
      <c r="J10">
        <v>0</v>
      </c>
      <c r="K10">
        <v>202.2438521651399</v>
      </c>
      <c r="L10">
        <v>469.2859063420805</v>
      </c>
      <c r="M10">
        <v>0</v>
      </c>
      <c r="N10">
        <f>-I10-J10+K10+L10+M10</f>
        <v>671.5297585072203</v>
      </c>
      <c r="O10">
        <f>N10/((1+$D$1)^((H10-$H$4)/365))</f>
        <v>477.98161792434934</v>
      </c>
    </row>
    <row r="11" spans="1:15">
      <c r="A11" s="1">
        <v>48760</v>
      </c>
      <c r="B11">
        <v>0</v>
      </c>
      <c r="C11">
        <v>3445.124286246575</v>
      </c>
      <c r="D11">
        <v>0</v>
      </c>
      <c r="E11">
        <v>0</v>
      </c>
      <c r="F11">
        <f>-B11+C11-D11+E11</f>
        <v>3445.1242862465747</v>
      </c>
      <c r="G11">
        <f>F11/((1+$B$1)^((A11-$A$4)/365))</f>
        <v>2734.274144328948</v>
      </c>
      <c r="H11" s="1">
        <v>48760</v>
      </c>
      <c r="I11">
        <v>0</v>
      </c>
      <c r="J11">
        <v>0</v>
      </c>
      <c r="K11">
        <v>421.5646905083747</v>
      </c>
      <c r="L11">
        <v>462.8992577655965</v>
      </c>
      <c r="M11">
        <v>0</v>
      </c>
      <c r="N11">
        <f>-I11-J11+K11+L11+M11</f>
        <v>884.4639482739713</v>
      </c>
      <c r="O11">
        <f>N11/((1+$D$1)^((H11-$H$4)/365))</f>
        <v>595.1402482271952</v>
      </c>
    </row>
    <row r="12" spans="1:15">
      <c r="A12" s="1">
        <v>48944</v>
      </c>
      <c r="B12">
        <v>0</v>
      </c>
      <c r="C12">
        <v>3583.653862329863</v>
      </c>
      <c r="D12">
        <v>1182.305173106849</v>
      </c>
      <c r="E12">
        <v>0</v>
      </c>
      <c r="F12">
        <f>-B12+C12-D12+E12</f>
        <v>2401.348689223014</v>
      </c>
      <c r="G12">
        <f>F12/((1+$B$1)^((A12-$A$4)/365))</f>
        <v>1833.340584904047</v>
      </c>
      <c r="H12" s="1">
        <v>48944</v>
      </c>
      <c r="I12">
        <v>0</v>
      </c>
      <c r="J12">
        <v>0</v>
      </c>
      <c r="K12">
        <v>206.7283468471887</v>
      </c>
      <c r="L12">
        <v>470.5716211539767</v>
      </c>
      <c r="M12">
        <v>0</v>
      </c>
      <c r="N12">
        <f>-I12-J12+K12+L12+M12</f>
        <v>677.2999680011653</v>
      </c>
      <c r="O12">
        <f>N12/((1+$D$1)^((H12-$H$4)/365))</f>
        <v>430.4363741677543</v>
      </c>
    </row>
    <row r="13" spans="1:15">
      <c r="A13" s="1">
        <v>49125</v>
      </c>
      <c r="B13">
        <v>0</v>
      </c>
      <c r="C13">
        <v>3525.224723270136</v>
      </c>
      <c r="D13">
        <v>0</v>
      </c>
      <c r="E13">
        <v>0</v>
      </c>
      <c r="F13">
        <f>-B13+C13-D13+E13</f>
        <v>3525.224723270136</v>
      </c>
      <c r="G13">
        <f>F13/((1+$B$1)^((A13-$A$4)/365))</f>
        <v>2590.59911838914</v>
      </c>
      <c r="H13" s="1">
        <v>49125</v>
      </c>
      <c r="I13">
        <v>0</v>
      </c>
      <c r="J13">
        <v>0</v>
      </c>
      <c r="K13">
        <v>442.0534572985123</v>
      </c>
      <c r="L13">
        <v>462.8992577655965</v>
      </c>
      <c r="M13">
        <v>0</v>
      </c>
      <c r="N13">
        <f>-I13-J13+K13+L13+M13</f>
        <v>904.9527150641088</v>
      </c>
      <c r="O13">
        <f>N13/((1+$D$1)^((H13-$H$4)/365))</f>
        <v>543.6846244231494</v>
      </c>
    </row>
    <row r="14" spans="1:15">
      <c r="A14" s="1">
        <v>49309</v>
      </c>
      <c r="B14">
        <v>0</v>
      </c>
      <c r="C14">
        <v>3666.710492277831</v>
      </c>
      <c r="D14">
        <v>1223.096652568986</v>
      </c>
      <c r="E14">
        <v>0</v>
      </c>
      <c r="F14">
        <f>-B14+C14-D14+E14</f>
        <v>2443.613839708845</v>
      </c>
      <c r="G14">
        <f>F14/((1+$B$1)^((A14-$A$4)/365))</f>
        <v>1727.4152392551068</v>
      </c>
      <c r="H14" s="1">
        <v>49309</v>
      </c>
      <c r="I14">
        <v>0</v>
      </c>
      <c r="J14">
        <v>0</v>
      </c>
      <c r="K14">
        <v>209.9525803398546</v>
      </c>
      <c r="L14">
        <v>470.5716211539767</v>
      </c>
      <c r="M14">
        <v>0</v>
      </c>
      <c r="N14">
        <f>-I14-J14+K14+L14+M14</f>
        <v>680.5242014938312</v>
      </c>
      <c r="O14">
        <f>N14/((1+$D$1)^((H14-$H$4)/365))</f>
        <v>386.1477078940552</v>
      </c>
    </row>
    <row r="15" spans="1:15">
      <c r="A15" s="1">
        <v>49490</v>
      </c>
      <c r="B15">
        <v>0</v>
      </c>
      <c r="C15">
        <v>3606.92716903417</v>
      </c>
      <c r="D15">
        <v>0</v>
      </c>
      <c r="E15">
        <v>0</v>
      </c>
      <c r="F15">
        <f>-B15+C15-D15+E15</f>
        <v>3606.9271690341698</v>
      </c>
      <c r="G15">
        <f>F15/((1+$B$1)^((A15-$A$4)/365))</f>
        <v>2454.2964758763906</v>
      </c>
      <c r="H15" s="1">
        <v>49490</v>
      </c>
      <c r="I15">
        <v>0</v>
      </c>
      <c r="J15">
        <v>0</v>
      </c>
      <c r="K15">
        <v>462.9519994244527</v>
      </c>
      <c r="L15">
        <v>462.8992577655965</v>
      </c>
      <c r="M15">
        <v>0</v>
      </c>
      <c r="N15">
        <f>-I15-J15+K15+L15+M15</f>
        <v>925.8512571900492</v>
      </c>
      <c r="O15">
        <f>N15/((1+$D$1)^((H15-$H$4)/365))</f>
        <v>496.6430493488475</v>
      </c>
    </row>
    <row r="16" spans="1:15">
      <c r="A16" s="1">
        <v>49674</v>
      </c>
      <c r="B16">
        <v>0</v>
      </c>
      <c r="C16">
        <v>3751.428254824757</v>
      </c>
      <c r="D16">
        <v>1264.694339470657</v>
      </c>
      <c r="E16">
        <v>0</v>
      </c>
      <c r="F16">
        <f>-B16+C16-D16+E16</f>
        <v>2486.7339153541006</v>
      </c>
      <c r="G16">
        <f>F16/((1+$B$1)^((A16-$A$4)/365))</f>
        <v>1627.682643613628</v>
      </c>
      <c r="H16" s="1">
        <v>49674</v>
      </c>
      <c r="I16">
        <v>0</v>
      </c>
      <c r="J16">
        <v>0</v>
      </c>
      <c r="K16">
        <v>212.8400725002265</v>
      </c>
      <c r="L16">
        <v>470.5716211539767</v>
      </c>
      <c r="M16">
        <v>0</v>
      </c>
      <c r="N16">
        <f>-I16-J16+K16+L16+M16</f>
        <v>683.4116936542032</v>
      </c>
      <c r="O16">
        <f>N16/((1+$D$1)^((H16-$H$4)/365))</f>
        <v>346.23763258172073</v>
      </c>
    </row>
    <row r="17" spans="1:15">
      <c r="A17" s="1">
        <v>49856</v>
      </c>
      <c r="B17">
        <v>0</v>
      </c>
      <c r="C17">
        <v>3700.513467688414</v>
      </c>
      <c r="D17">
        <v>0</v>
      </c>
      <c r="E17">
        <v>0</v>
      </c>
      <c r="F17">
        <f>-B17+C17-D17+E17</f>
        <v>3700.5134676884136</v>
      </c>
      <c r="G17">
        <f>F17/((1+$B$1)^((A17-$A$4)/365))</f>
        <v>2330.968004604385</v>
      </c>
      <c r="H17" s="1">
        <v>49856</v>
      </c>
      <c r="I17">
        <v>0</v>
      </c>
      <c r="J17">
        <v>0</v>
      </c>
      <c r="K17">
        <v>485.6135808692003</v>
      </c>
      <c r="L17">
        <v>464.1849725774927</v>
      </c>
      <c r="M17">
        <v>0</v>
      </c>
      <c r="N17">
        <f>-I17-J17+K17+L17+M17</f>
        <v>949.798553446693</v>
      </c>
      <c r="O17">
        <f>N17/((1+$D$1)^((H17-$H$4)/365))</f>
        <v>454.7594980014015</v>
      </c>
    </row>
    <row r="18" spans="1:15">
      <c r="A18" s="1">
        <v>50040</v>
      </c>
      <c r="B18">
        <v>0</v>
      </c>
      <c r="C18">
        <v>3827.354469965183</v>
      </c>
      <c r="D18">
        <v>1408.188407624767</v>
      </c>
      <c r="E18">
        <v>0</v>
      </c>
      <c r="F18">
        <f>-B18+C18-D18+E18</f>
        <v>2419.166062340417</v>
      </c>
      <c r="G18">
        <f>F18/((1+$B$1)^((A18-$A$4)/365))</f>
        <v>1465.8541769108588</v>
      </c>
      <c r="H18" s="1">
        <v>50040</v>
      </c>
      <c r="I18">
        <v>0</v>
      </c>
      <c r="J18">
        <v>0</v>
      </c>
      <c r="K18">
        <v>197.253830991886</v>
      </c>
      <c r="L18">
        <v>469.2859063420805</v>
      </c>
      <c r="M18">
        <v>0</v>
      </c>
      <c r="N18">
        <f>-I18-J18+K18+L18+M18</f>
        <v>666.5397373339665</v>
      </c>
      <c r="O18">
        <f>N18/((1+$D$1)^((H18-$H$4)/365))</f>
        <v>301.41512639700704</v>
      </c>
    </row>
    <row r="19" spans="1:15">
      <c r="A19" s="1">
        <v>50221</v>
      </c>
      <c r="B19">
        <v>0</v>
      </c>
      <c r="C19">
        <v>3775.266888286383</v>
      </c>
      <c r="D19">
        <v>0</v>
      </c>
      <c r="E19">
        <v>0</v>
      </c>
      <c r="F19">
        <f>-B19+C19-D19+E19</f>
        <v>3775.266888286383</v>
      </c>
      <c r="G19">
        <f>F19/((1+$B$1)^((A19-$A$4)/365))</f>
        <v>2201.903220918019</v>
      </c>
      <c r="H19" s="1">
        <v>50221</v>
      </c>
      <c r="I19">
        <v>0</v>
      </c>
      <c r="J19">
        <v>0</v>
      </c>
      <c r="K19">
        <v>506.0113556207386</v>
      </c>
      <c r="L19">
        <v>462.8992577655965</v>
      </c>
      <c r="M19">
        <v>0</v>
      </c>
      <c r="N19">
        <f>-I19-J19+K19+L19+M19</f>
        <v>968.9106133863352</v>
      </c>
      <c r="O19">
        <f>N19/((1+$D$1)^((H19-$H$4)/365))</f>
        <v>414.20559894445466</v>
      </c>
    </row>
    <row r="20" spans="1:15">
      <c r="A20" s="1">
        <v>50405</v>
      </c>
      <c r="B20">
        <v>0</v>
      </c>
      <c r="C20">
        <v>3925.980732776445</v>
      </c>
      <c r="D20">
        <v>1550.431661189829</v>
      </c>
      <c r="E20">
        <v>0</v>
      </c>
      <c r="F20">
        <f>-B20+C20-D20+E20</f>
        <v>2375.5490715866163</v>
      </c>
      <c r="G20">
        <f>F20/((1+$B$1)^((A20-$A$4)/365))</f>
        <v>1332.8010865864321</v>
      </c>
      <c r="H20" s="1">
        <v>50405</v>
      </c>
      <c r="I20">
        <v>0</v>
      </c>
      <c r="J20">
        <v>0</v>
      </c>
      <c r="K20">
        <v>184.3613524446823</v>
      </c>
      <c r="L20">
        <v>470.5716211539767</v>
      </c>
      <c r="M20">
        <v>0</v>
      </c>
      <c r="N20">
        <f>-I20-J20+K20+L20+M20</f>
        <v>654.9329735986589</v>
      </c>
      <c r="O20">
        <f>N20/((1+$D$1)^((H20-$H$4)/365))</f>
        <v>264.4343266448389</v>
      </c>
    </row>
    <row r="21" spans="1:15">
      <c r="A21" s="1">
        <v>50586</v>
      </c>
      <c r="B21">
        <v>0</v>
      </c>
      <c r="C21">
        <v>3861.970177350741</v>
      </c>
      <c r="D21">
        <v>0</v>
      </c>
      <c r="E21">
        <v>0</v>
      </c>
      <c r="F21">
        <f>-B21+C21-D21+E21</f>
        <v>3861.9701773507413</v>
      </c>
      <c r="G21">
        <f>F21/((1+$B$1)^((A21-$A$4)/365))</f>
        <v>2085.6226181240154</v>
      </c>
      <c r="H21" s="1">
        <v>50586</v>
      </c>
      <c r="I21">
        <v>0</v>
      </c>
      <c r="J21">
        <v>0</v>
      </c>
      <c r="K21">
        <v>528.189055713123</v>
      </c>
      <c r="L21">
        <v>462.8992577655965</v>
      </c>
      <c r="M21">
        <v>0</v>
      </c>
      <c r="N21">
        <f>-I21-J21+K21+L21+M21</f>
        <v>991.0883134787196</v>
      </c>
      <c r="O21">
        <f>N21/((1+$D$1)^((H21-$H$4)/365))</f>
        <v>378.29150117123925</v>
      </c>
    </row>
    <row r="22" spans="1:15">
      <c r="A22" s="1">
        <v>50770</v>
      </c>
      <c r="B22">
        <v>0</v>
      </c>
      <c r="C22">
        <v>4015.883900133344</v>
      </c>
      <c r="D22">
        <v>1594.585670413626</v>
      </c>
      <c r="E22">
        <v>0</v>
      </c>
      <c r="F22">
        <f>-B22+C22-D22+E22</f>
        <v>2421.2982297197177</v>
      </c>
      <c r="G22">
        <f>F22/((1+$B$1)^((A22-$A$4)/365))</f>
        <v>1257.8413313800659</v>
      </c>
      <c r="H22" s="1">
        <v>50770</v>
      </c>
      <c r="I22">
        <v>0</v>
      </c>
      <c r="J22">
        <v>0</v>
      </c>
      <c r="K22">
        <v>186.4757652368762</v>
      </c>
      <c r="L22">
        <v>470.5716211539767</v>
      </c>
      <c r="M22">
        <v>0</v>
      </c>
      <c r="N22">
        <f>-I22-J22+K22+L22+M22</f>
        <v>657.0473863908528</v>
      </c>
      <c r="O22">
        <f>N22/((1+$D$1)^((H22-$H$4)/365))</f>
        <v>236.86431910643697</v>
      </c>
    </row>
    <row r="23" spans="1:15">
      <c r="A23" s="1">
        <v>50951</v>
      </c>
      <c r="B23">
        <v>0</v>
      </c>
      <c r="C23">
        <v>3950.407532196386</v>
      </c>
      <c r="D23">
        <v>0</v>
      </c>
      <c r="E23">
        <v>0</v>
      </c>
      <c r="F23">
        <f>-B23+C23-D23+E23</f>
        <v>3950.4075321963855</v>
      </c>
      <c r="G23">
        <f>F23/((1+$B$1)^((A23-$A$4)/365))</f>
        <v>1975.3540966760731</v>
      </c>
      <c r="H23" s="1">
        <v>50951</v>
      </c>
      <c r="I23">
        <v>0</v>
      </c>
      <c r="J23">
        <v>0</v>
      </c>
      <c r="K23">
        <v>550.8103098073536</v>
      </c>
      <c r="L23">
        <v>462.8992577655965</v>
      </c>
      <c r="M23">
        <v>0</v>
      </c>
      <c r="N23">
        <f>-I23-J23+K23+L23+M23</f>
        <v>1013.7095675729502</v>
      </c>
      <c r="O23">
        <f>N23/((1+$D$1)^((H23-$H$4)/365))</f>
        <v>345.4695323074516</v>
      </c>
    </row>
    <row r="24" spans="1:15">
      <c r="A24" s="1">
        <v>51135</v>
      </c>
      <c r="B24">
        <v>0</v>
      </c>
      <c r="C24">
        <v>4107.585130837381</v>
      </c>
      <c r="D24">
        <v>1639.610318398953</v>
      </c>
      <c r="E24">
        <v>0</v>
      </c>
      <c r="F24">
        <f>-B24+C24-D24+E24</f>
        <v>2467.974812438428</v>
      </c>
      <c r="G24">
        <f>F24/((1+$B$1)^((A24-$A$4)/365))</f>
        <v>1187.1197877890643</v>
      </c>
      <c r="H24" s="1">
        <v>51135</v>
      </c>
      <c r="I24">
        <v>0</v>
      </c>
      <c r="J24">
        <v>0</v>
      </c>
      <c r="K24">
        <v>188.1644822169982</v>
      </c>
      <c r="L24">
        <v>470.5716211539767</v>
      </c>
      <c r="M24">
        <v>0</v>
      </c>
      <c r="N24">
        <f>-I24-J24+K24+L24+M24</f>
        <v>658.7361033709749</v>
      </c>
      <c r="O24">
        <f>N24/((1+$D$1)^((H24-$H$4)/365))</f>
        <v>212.0295520802606</v>
      </c>
    </row>
    <row r="25" spans="1:15">
      <c r="A25" s="1">
        <v>51317</v>
      </c>
      <c r="B25">
        <v>0</v>
      </c>
      <c r="C25">
        <v>4051.836544332489</v>
      </c>
      <c r="D25">
        <v>0</v>
      </c>
      <c r="E25">
        <v>0</v>
      </c>
      <c r="F25">
        <f>-B25+C25-D25+E25</f>
        <v>4051.8365443324888</v>
      </c>
      <c r="G25">
        <f>F25/((1+$B$1)^((A25-$A$4)/365))</f>
        <v>1875.5975054018486</v>
      </c>
      <c r="H25" s="1">
        <v>51317</v>
      </c>
      <c r="I25">
        <v>0</v>
      </c>
      <c r="J25">
        <v>0</v>
      </c>
      <c r="K25">
        <v>575.4779667930449</v>
      </c>
      <c r="L25">
        <v>464.1849725774927</v>
      </c>
      <c r="M25">
        <v>0</v>
      </c>
      <c r="N25">
        <f>-I25-J25+K25+L25+M25</f>
        <v>1039.6629393705375</v>
      </c>
      <c r="O25">
        <f>N25/((1+$D$1)^((H25-$H$4)/365))</f>
        <v>316.25390960342514</v>
      </c>
    </row>
    <row r="26" spans="1:15">
      <c r="A26" s="1">
        <v>51501</v>
      </c>
      <c r="B26">
        <v>0</v>
      </c>
      <c r="C26">
        <v>4189.641915155073</v>
      </c>
      <c r="D26">
        <v>1685.509142239561</v>
      </c>
      <c r="E26">
        <v>0</v>
      </c>
      <c r="F26">
        <f>-B26+C26-D26+E26</f>
        <v>2504.1327729155114</v>
      </c>
      <c r="G26">
        <f>F26/((1+$B$1)^((A26-$A$4)/365))</f>
        <v>1115.0538608899699</v>
      </c>
      <c r="H26" s="1">
        <v>51501</v>
      </c>
      <c r="I26">
        <v>0</v>
      </c>
      <c r="J26">
        <v>0</v>
      </c>
      <c r="K26">
        <v>187.7683355675136</v>
      </c>
      <c r="L26">
        <v>469.2859063420805</v>
      </c>
      <c r="M26">
        <v>0</v>
      </c>
      <c r="N26">
        <f>-I26-J26+K26+L26+M26</f>
        <v>657.0542419095941</v>
      </c>
      <c r="O26">
        <f>N26/((1+$D$1)^((H26-$H$4)/365))</f>
        <v>188.77013493390777</v>
      </c>
    </row>
    <row r="27" spans="1:15">
      <c r="A27" s="1">
        <v>51682</v>
      </c>
      <c r="B27">
        <v>0</v>
      </c>
      <c r="C27">
        <v>4132.623858120352</v>
      </c>
      <c r="D27">
        <v>0</v>
      </c>
      <c r="E27">
        <v>0</v>
      </c>
      <c r="F27">
        <f>-B27+C27-D27+E27</f>
        <v>4132.623858120352</v>
      </c>
      <c r="G27">
        <f>F27/((1+$B$1)^((A27-$A$4)/365))</f>
        <v>1771.2907409157667</v>
      </c>
      <c r="H27" s="1">
        <v>51682</v>
      </c>
      <c r="I27">
        <v>0</v>
      </c>
      <c r="J27">
        <v>0</v>
      </c>
      <c r="K27">
        <v>6103.222137262611</v>
      </c>
      <c r="L27">
        <v>462.8992577655965</v>
      </c>
      <c r="M27">
        <v>0</v>
      </c>
      <c r="N27">
        <f>-I27-J27+K27+L27+M27</f>
        <v>6566.121395028207</v>
      </c>
      <c r="O27">
        <f>N27/((1+$D$1)^((H27-$H$4)/365))</f>
        <v>1783.3403049199649</v>
      </c>
    </row>
    <row r="28" spans="1:15">
      <c r="A28" s="1">
        <v>51866</v>
      </c>
      <c r="B28">
        <v>0</v>
      </c>
      <c r="C28">
        <v>4296.526346579977</v>
      </c>
      <c r="D28">
        <v>1732.417178838703</v>
      </c>
      <c r="E28">
        <v>0</v>
      </c>
      <c r="F28">
        <f>-B28+C28-D28+E28</f>
        <v>2564.1091677412746</v>
      </c>
      <c r="G28">
        <f>F28/((1+$B$1)^((A28-$A$4)/365))</f>
        <v>1057.1856260967775</v>
      </c>
      <c r="H28" s="1">
        <v>51866</v>
      </c>
      <c r="I28">
        <v>0</v>
      </c>
      <c r="J28">
        <v>0</v>
      </c>
      <c r="K28">
        <v>2330.776610854862</v>
      </c>
      <c r="L28">
        <v>470.5716211539767</v>
      </c>
      <c r="M28">
        <v>0</v>
      </c>
      <c r="N28">
        <f>-I28-J28+K28+L28+M28</f>
        <v>2801.3482320088387</v>
      </c>
      <c r="O28">
        <f>N28/((1+$D$1)^((H28-$H$4)/365))</f>
        <v>718.5899499064235</v>
      </c>
    </row>
    <row r="29" spans="1:15">
      <c r="A29" s="1">
        <v>52047</v>
      </c>
      <c r="B29">
        <v>0</v>
      </c>
      <c r="C29">
        <v>4226.47428658139</v>
      </c>
      <c r="D29">
        <v>0</v>
      </c>
      <c r="E29">
        <v>0</v>
      </c>
      <c r="F29">
        <f>-B29+C29-D29+E29</f>
        <v>4226.47428658139</v>
      </c>
      <c r="G29">
        <f>F29/((1+$B$1)^((A29-$A$4)/365))</f>
        <v>1677.3297482820387</v>
      </c>
      <c r="H29" s="1">
        <v>52047</v>
      </c>
      <c r="I29">
        <v>0</v>
      </c>
      <c r="J29">
        <v>0</v>
      </c>
      <c r="K29">
        <v>3763.575028815793</v>
      </c>
      <c r="L29">
        <v>462.8992577655965</v>
      </c>
      <c r="M29">
        <v>0</v>
      </c>
      <c r="N29">
        <f>-I29-J29+K29+L29+M29</f>
        <v>4226.47428658139</v>
      </c>
      <c r="O29">
        <f>N29/((1+$D$1)^((H29-$H$4)/365))</f>
        <v>1024.9095167989835</v>
      </c>
    </row>
    <row r="30" spans="1:15">
      <c r="A30" s="1">
        <v>52231</v>
      </c>
      <c r="B30">
        <v>0</v>
      </c>
      <c r="C30">
        <v>4393.840426212947</v>
      </c>
      <c r="D30">
        <v>1780.210898415477</v>
      </c>
      <c r="E30">
        <v>0</v>
      </c>
      <c r="F30">
        <f>-B30+C30-D30+E30</f>
        <v>2613.6295277974705</v>
      </c>
      <c r="G30">
        <f>F30/((1+$B$1)^((A30-$A$4)/365))</f>
        <v>997.7804967827404</v>
      </c>
      <c r="H30" s="1">
        <v>52231</v>
      </c>
      <c r="I30">
        <v>0</v>
      </c>
      <c r="J30">
        <v>0</v>
      </c>
      <c r="K30">
        <v>2376.425626373387</v>
      </c>
      <c r="L30">
        <v>470.5716211539767</v>
      </c>
      <c r="M30">
        <v>0</v>
      </c>
      <c r="N30">
        <f>-I30-J30+K30+L30+M30</f>
        <v>2846.9972475273635</v>
      </c>
      <c r="O30">
        <f>N30/((1+$D$1)^((H30-$H$4)/365))</f>
        <v>652.0532513175168</v>
      </c>
    </row>
    <row r="31" spans="1:15">
      <c r="A31" s="1">
        <v>52412</v>
      </c>
      <c r="B31">
        <v>0</v>
      </c>
      <c r="C31">
        <v>4322.201723611647</v>
      </c>
      <c r="D31">
        <v>0</v>
      </c>
      <c r="E31">
        <v>0</v>
      </c>
      <c r="F31">
        <f>-B31+C31-D31+E31</f>
        <v>4322.201723611647</v>
      </c>
      <c r="G31">
        <f>F31/((1+$B$1)^((A31-$A$4)/365))</f>
        <v>1588.2596220147575</v>
      </c>
      <c r="H31" s="1">
        <v>52412</v>
      </c>
      <c r="I31">
        <v>0</v>
      </c>
      <c r="J31">
        <v>0</v>
      </c>
      <c r="K31">
        <v>3859.302465846051</v>
      </c>
      <c r="L31">
        <v>462.8992577655965</v>
      </c>
      <c r="M31">
        <v>0</v>
      </c>
      <c r="N31">
        <f>-I31-J31+K31+L31+M31</f>
        <v>4322.201723611647</v>
      </c>
      <c r="O31">
        <f>N31/((1+$D$1)^((H31-$H$4)/365))</f>
        <v>935.8242700995196</v>
      </c>
    </row>
    <row r="32" spans="1:15">
      <c r="A32" s="1">
        <v>52596</v>
      </c>
      <c r="B32">
        <v>0</v>
      </c>
      <c r="C32">
        <v>4493.100787438575</v>
      </c>
      <c r="D32">
        <v>1829.557933153373</v>
      </c>
      <c r="E32">
        <v>0</v>
      </c>
      <c r="F32">
        <f>-B32+C32-D32+E32</f>
        <v>2663.5428542852023</v>
      </c>
      <c r="G32">
        <f>F32/((1+$B$1)^((A32-$A$4)/365))</f>
        <v>941.5142897267016</v>
      </c>
      <c r="H32" s="1">
        <v>52596</v>
      </c>
      <c r="I32">
        <v>0</v>
      </c>
      <c r="J32">
        <v>0</v>
      </c>
      <c r="K32">
        <v>2426.337205965994</v>
      </c>
      <c r="L32">
        <v>470.5716211539767</v>
      </c>
      <c r="M32">
        <v>0</v>
      </c>
      <c r="N32">
        <f>-I32-J32+K32+L32+M32</f>
        <v>2896.9088271199707</v>
      </c>
      <c r="O32">
        <f>N32/((1+$D$1)^((H32-$H$4)/365))</f>
        <v>592.3969609981646</v>
      </c>
    </row>
    <row r="33" spans="1:15">
      <c r="A33" s="1">
        <v>52778</v>
      </c>
      <c r="B33">
        <v>0</v>
      </c>
      <c r="C33">
        <v>4877.156049525137</v>
      </c>
      <c r="D33">
        <v>0</v>
      </c>
      <c r="E33">
        <v>0</v>
      </c>
      <c r="F33">
        <f>-B33+C33-D33+E33</f>
        <v>4877.156049525137</v>
      </c>
      <c r="G33">
        <f>F33/((1+$B$1)^((A33-$A$4)/365))</f>
        <v>1659.0817533269706</v>
      </c>
      <c r="H33" s="1">
        <v>52778</v>
      </c>
      <c r="I33">
        <v>0</v>
      </c>
      <c r="J33">
        <v>0</v>
      </c>
      <c r="K33">
        <v>4412.971076947644</v>
      </c>
      <c r="L33">
        <v>464.1849725774927</v>
      </c>
      <c r="M33">
        <v>0</v>
      </c>
      <c r="N33">
        <f>-I33-J33+K33+L33+M33</f>
        <v>4877.156049525137</v>
      </c>
      <c r="O33">
        <f>N33/((1+$D$1)^((H33-$H$4)/365))</f>
        <v>942.5470900157056</v>
      </c>
    </row>
    <row r="34" spans="1:15">
      <c r="A34" s="1">
        <v>52962</v>
      </c>
      <c r="B34">
        <v>0</v>
      </c>
      <c r="C34">
        <v>5040.718644465821</v>
      </c>
      <c r="D34">
        <v>2104.634042572031</v>
      </c>
      <c r="E34">
        <v>0</v>
      </c>
      <c r="F34">
        <f>-B34+C34-D34+E34</f>
        <v>2936.08460189379</v>
      </c>
      <c r="G34">
        <f>F34/((1+$B$1)^((A34-$A$4)/365))</f>
        <v>960.7722818168593</v>
      </c>
      <c r="H34" s="1">
        <v>52962</v>
      </c>
      <c r="I34">
        <v>0</v>
      </c>
      <c r="J34">
        <v>0</v>
      </c>
      <c r="K34">
        <v>2700.168162176727</v>
      </c>
      <c r="L34">
        <v>469.2859063420805</v>
      </c>
      <c r="M34">
        <v>0</v>
      </c>
      <c r="N34">
        <f>-I34-J34+K34+L34+M34</f>
        <v>3169.454068518808</v>
      </c>
      <c r="O34">
        <f>N34/((1+$D$1)^((H34-$H$4)/365))</f>
        <v>578.5082951837426</v>
      </c>
    </row>
    <row r="35" spans="1:15">
      <c r="A35" s="1">
        <v>53143</v>
      </c>
      <c r="B35">
        <v>0</v>
      </c>
      <c r="C35">
        <v>4972.118036350248</v>
      </c>
      <c r="D35">
        <v>0</v>
      </c>
      <c r="E35">
        <v>0</v>
      </c>
      <c r="F35">
        <f>-B35+C35-D35+E35</f>
        <v>4972.118036350248</v>
      </c>
      <c r="G35">
        <f>F35/((1+$B$1)^((A35-$A$4)/365))</f>
        <v>1566.0975496501658</v>
      </c>
      <c r="H35" s="1">
        <v>53143</v>
      </c>
      <c r="I35">
        <v>0</v>
      </c>
      <c r="J35">
        <v>0</v>
      </c>
      <c r="K35">
        <v>4509.218778584652</v>
      </c>
      <c r="L35">
        <v>462.8992577655965</v>
      </c>
      <c r="M35">
        <v>0</v>
      </c>
      <c r="N35">
        <f>-I35-J35+K35+L35+M35</f>
        <v>4972.118036350248</v>
      </c>
      <c r="O35">
        <f>N35/((1+$D$1)^((H35-$H$4)/365))</f>
        <v>857.9457216291088</v>
      </c>
    </row>
    <row r="36" spans="1:15">
      <c r="A36" s="1">
        <v>53327</v>
      </c>
      <c r="B36">
        <v>0</v>
      </c>
      <c r="C36">
        <v>5167.002961884878</v>
      </c>
      <c r="D36">
        <v>2159.933067669314</v>
      </c>
      <c r="E36">
        <v>0</v>
      </c>
      <c r="F36">
        <f>-B36+C36-D36+E36</f>
        <v>3007.069894215564</v>
      </c>
      <c r="G36">
        <f>F36/((1+$B$1)^((A36-$A$4)/365))</f>
        <v>911.1117908980054</v>
      </c>
      <c r="H36" s="1">
        <v>53327</v>
      </c>
      <c r="I36">
        <v>0</v>
      </c>
      <c r="J36">
        <v>0</v>
      </c>
      <c r="K36">
        <v>2769.86599279148</v>
      </c>
      <c r="L36">
        <v>470.5716211539767</v>
      </c>
      <c r="M36">
        <v>0</v>
      </c>
      <c r="N36">
        <f>-I36-J36+K36+L36+M36</f>
        <v>3240.437613945457</v>
      </c>
      <c r="O36">
        <f>N36/((1+$D$1)^((H36-$H$4)/365))</f>
        <v>528.0934370394959</v>
      </c>
    </row>
    <row r="37" spans="1:15">
      <c r="A37" s="1">
        <v>53508</v>
      </c>
      <c r="B37">
        <v>0</v>
      </c>
      <c r="C37">
        <v>5082.758348375884</v>
      </c>
      <c r="D37">
        <v>0</v>
      </c>
      <c r="E37">
        <v>0</v>
      </c>
      <c r="F37">
        <f>-B37+C37-D37+E37</f>
        <v>5082.7583483758835</v>
      </c>
      <c r="G37">
        <f>F37/((1+$B$1)^((A37-$A$4)/365))</f>
        <v>1482.3579498829474</v>
      </c>
      <c r="H37" s="1">
        <v>53508</v>
      </c>
      <c r="I37">
        <v>0</v>
      </c>
      <c r="J37">
        <v>0</v>
      </c>
      <c r="K37">
        <v>4619.859090610287</v>
      </c>
      <c r="L37">
        <v>462.8992577655965</v>
      </c>
      <c r="M37">
        <v>0</v>
      </c>
      <c r="N37">
        <f>-I37-J37+K37+L37+M37</f>
        <v>5082.7583483758835</v>
      </c>
      <c r="O37">
        <f>N37/((1+$D$1)^((H37-$H$4)/365))</f>
        <v>783.0686230092087</v>
      </c>
    </row>
    <row r="38" spans="1:15">
      <c r="A38" s="1">
        <v>53692</v>
      </c>
      <c r="B38">
        <v>0</v>
      </c>
      <c r="C38">
        <v>5281.726573823946</v>
      </c>
      <c r="D38">
        <v>2216.277105022701</v>
      </c>
      <c r="E38">
        <v>0</v>
      </c>
      <c r="F38">
        <f>-B38+C38-D38+E38</f>
        <v>3065.449468801245</v>
      </c>
      <c r="G38">
        <f>F38/((1+$B$1)^((A38-$A$4)/365))</f>
        <v>860.0001963519086</v>
      </c>
      <c r="H38" s="1">
        <v>53692</v>
      </c>
      <c r="I38">
        <v>0</v>
      </c>
      <c r="J38">
        <v>0</v>
      </c>
      <c r="K38">
        <v>0</v>
      </c>
      <c r="L38">
        <v>470.5716211539767</v>
      </c>
      <c r="M38">
        <v>2828.090603508476</v>
      </c>
      <c r="N38">
        <f>-I38-J38+K38+L38+M38</f>
        <v>3298.662224662453</v>
      </c>
      <c r="O38">
        <f>N38/((1+$D$1)^((H38-$H$4)/365))</f>
        <v>479.98418715486645</v>
      </c>
    </row>
    <row r="39" spans="1:15">
      <c r="A39" s="1">
        <v>53873</v>
      </c>
      <c r="B39">
        <v>0</v>
      </c>
      <c r="C39">
        <v>5195.611466642032</v>
      </c>
      <c r="D39">
        <v>0</v>
      </c>
      <c r="E39">
        <v>0</v>
      </c>
      <c r="F39">
        <f>-B39+C39-D39+E39</f>
        <v>5195.611466642032</v>
      </c>
      <c r="G39">
        <f>F39/((1+$B$1)^((A39-$A$4)/365))</f>
        <v>1403.0286375355533</v>
      </c>
      <c r="H39" s="1">
        <v>53873</v>
      </c>
      <c r="I39">
        <v>0</v>
      </c>
      <c r="J39">
        <v>0</v>
      </c>
      <c r="K39">
        <v>0</v>
      </c>
      <c r="L39">
        <v>350.7054168373699</v>
      </c>
      <c r="M39">
        <v>4844.906049804662</v>
      </c>
      <c r="N39">
        <f>-I39-J39+K39+L39+M39</f>
        <v>5195.611466642032</v>
      </c>
      <c r="O39">
        <f>N39/((1+$D$1)^((H39-$H$4)/365))</f>
        <v>714.6921369852862</v>
      </c>
    </row>
    <row r="40" spans="1:15">
      <c r="A40" s="1">
        <v>54057</v>
      </c>
      <c r="B40">
        <v>0</v>
      </c>
      <c r="C40">
        <v>5398.744658001794</v>
      </c>
      <c r="D40">
        <v>2273.730788550385</v>
      </c>
      <c r="E40">
        <v>0</v>
      </c>
      <c r="F40">
        <f>-B40+C40-D40+E40</f>
        <v>3125.0138694514094</v>
      </c>
      <c r="G40">
        <f>F40/((1+$B$1)^((A40-$A$4)/365))</f>
        <v>811.7692245771163</v>
      </c>
      <c r="H40" s="1">
        <v>54057</v>
      </c>
      <c r="I40">
        <v>0</v>
      </c>
      <c r="J40">
        <v>0</v>
      </c>
      <c r="K40">
        <v>0</v>
      </c>
      <c r="L40">
        <v>161.1291259847453</v>
      </c>
      <c r="M40">
        <v>3091.408377291622</v>
      </c>
      <c r="N40">
        <f>-I40-J40+K40+L40+M40</f>
        <v>3252.5375032763673</v>
      </c>
      <c r="O40">
        <f>N40/((1+$D$1)^((H40-$H$4)/365))</f>
        <v>422.5648544812137</v>
      </c>
    </row>
    <row r="41" spans="1:15">
      <c r="A41" s="1">
        <v>54239</v>
      </c>
      <c r="B41">
        <v>0</v>
      </c>
      <c r="C41">
        <v>5325.472315737989</v>
      </c>
      <c r="D41">
        <v>0</v>
      </c>
      <c r="E41">
        <v>0</v>
      </c>
      <c r="F41">
        <f>-B41+C41-D41+E41</f>
        <v>5325.4723157379885</v>
      </c>
      <c r="G41">
        <f>F41/((1+$B$1)^((A41-$A$4)/365))</f>
        <v>1331.2900095758337</v>
      </c>
      <c r="H41" s="1">
        <v>54239</v>
      </c>
      <c r="I41">
        <v>0</v>
      </c>
      <c r="J41">
        <v>0</v>
      </c>
      <c r="K41">
        <v>4385.529713078257</v>
      </c>
      <c r="L41">
        <v>35.96164676982785</v>
      </c>
      <c r="M41">
        <v>903.9809558899033</v>
      </c>
      <c r="N41">
        <f>-I41-J41+K41+L41+M41</f>
        <v>5325.4723157379885</v>
      </c>
      <c r="O41">
        <f>N41/((1+$D$1)^((H41-$H$4)/365))</f>
        <v>653.8642639138283</v>
      </c>
    </row>
    <row r="42" spans="1:15">
      <c r="A42" s="1">
        <v>54423</v>
      </c>
      <c r="B42">
        <v>0</v>
      </c>
      <c r="C42">
        <v>5503.026319426414</v>
      </c>
      <c r="D42">
        <v>2332.304065165313</v>
      </c>
      <c r="E42">
        <v>0</v>
      </c>
      <c r="F42">
        <f>-B42+C42-D42+E42</f>
        <v>3170.7222542611016</v>
      </c>
      <c r="G42">
        <f>F42/((1+$B$1)^((A42-$A$4)/365))</f>
        <v>762.4713097935776</v>
      </c>
      <c r="H42" s="1">
        <v>54423</v>
      </c>
      <c r="I42">
        <v>0</v>
      </c>
      <c r="J42">
        <v>0</v>
      </c>
      <c r="K42">
        <v>3179.663268087117</v>
      </c>
      <c r="L42">
        <v>0</v>
      </c>
      <c r="M42">
        <v>0</v>
      </c>
      <c r="N42">
        <f>-I42-J42+K42+L42+M42</f>
        <v>3179.6632680871166</v>
      </c>
      <c r="O42">
        <f>N42/((1+$D$1)^((H42-$H$4)/365))</f>
        <v>368.7222315696313</v>
      </c>
    </row>
    <row r="43" spans="1:15">
      <c r="A43" s="1">
        <v>54604</v>
      </c>
      <c r="B43">
        <v>0</v>
      </c>
      <c r="C43">
        <v>5428.134031517602</v>
      </c>
      <c r="D43">
        <v>0</v>
      </c>
      <c r="E43">
        <v>0</v>
      </c>
      <c r="F43">
        <f>-B43+C43-D43+E43</f>
        <v>5428.134031517602</v>
      </c>
      <c r="G43">
        <f>F43/((1+$B$1)^((A43-$A$4)/365))</f>
        <v>1256.4388273516677</v>
      </c>
      <c r="H43" s="1">
        <v>54604</v>
      </c>
      <c r="I43">
        <v>0</v>
      </c>
      <c r="J43">
        <v>0</v>
      </c>
      <c r="K43">
        <v>5428.134031517602</v>
      </c>
      <c r="L43">
        <v>0</v>
      </c>
      <c r="M43">
        <v>0</v>
      </c>
      <c r="N43">
        <f>-I43-J43+K43+L43+M43</f>
        <v>5428.134031517602</v>
      </c>
      <c r="O43">
        <f>N43/((1+$D$1)^((H43-$H$4)/365))</f>
        <v>595.0617168156037</v>
      </c>
    </row>
    <row r="44" spans="1:15">
      <c r="A44" s="1">
        <v>54788</v>
      </c>
      <c r="B44">
        <v>0</v>
      </c>
      <c r="C44">
        <v>5639.848718641833</v>
      </c>
      <c r="D44">
        <v>2392.16110277733</v>
      </c>
      <c r="E44">
        <v>0</v>
      </c>
      <c r="F44">
        <f>-B44+C44-D44+E44</f>
        <v>3247.6876158645036</v>
      </c>
      <c r="G44">
        <f>F44/((1+$B$1)^((A44-$A$4)/365))</f>
        <v>723.1290351090959</v>
      </c>
      <c r="H44" s="1">
        <v>54788</v>
      </c>
      <c r="I44">
        <v>0</v>
      </c>
      <c r="J44">
        <v>0</v>
      </c>
      <c r="K44">
        <v>3247.687615864504</v>
      </c>
      <c r="L44">
        <v>0</v>
      </c>
      <c r="M44">
        <v>0</v>
      </c>
      <c r="N44">
        <f>-I44-J44+K44+L44+M44</f>
        <v>3247.6876158645036</v>
      </c>
      <c r="O44">
        <f>N44/((1+$D$1)^((H44-$H$4)/365))</f>
        <v>336.25938958394886</v>
      </c>
    </row>
    <row r="45" spans="1:15">
      <c r="A45" s="1">
        <v>54969</v>
      </c>
      <c r="B45">
        <v>0</v>
      </c>
      <c r="C45">
        <v>5547.894663446586</v>
      </c>
      <c r="D45">
        <v>0</v>
      </c>
      <c r="E45">
        <v>0</v>
      </c>
      <c r="F45">
        <f>-B45+C45-D45+E45</f>
        <v>5547.8946634465865</v>
      </c>
      <c r="G45">
        <f>F45/((1+$B$1)^((A45-$A$4)/365))</f>
        <v>1189.0366391269138</v>
      </c>
      <c r="H45" s="1">
        <v>54969</v>
      </c>
      <c r="I45">
        <v>0</v>
      </c>
      <c r="J45">
        <v>0</v>
      </c>
      <c r="K45">
        <v>5547.894663446586</v>
      </c>
      <c r="L45">
        <v>0</v>
      </c>
      <c r="M45">
        <v>0</v>
      </c>
      <c r="N45">
        <f>-I45-J45+K45+L45+M45</f>
        <v>5547.8946634465865</v>
      </c>
      <c r="O45">
        <f>N45/((1+$D$1)^((H45-$H$4)/365))</f>
        <v>543.0272605081271</v>
      </c>
    </row>
    <row r="46" spans="1:15">
      <c r="A46" s="1">
        <v>55153</v>
      </c>
      <c r="B46">
        <v>0</v>
      </c>
      <c r="C46">
        <v>5764.02924571604</v>
      </c>
      <c r="D46">
        <v>2453.149700832877</v>
      </c>
      <c r="E46">
        <v>0</v>
      </c>
      <c r="F46">
        <f>-B46+C46-D46+E46</f>
        <v>3310.8795448831634</v>
      </c>
      <c r="G46">
        <f>F46/((1+$B$1)^((A46-$A$4)/365))</f>
        <v>682.5919711357498</v>
      </c>
      <c r="H46" s="1">
        <v>55153</v>
      </c>
      <c r="I46">
        <v>0</v>
      </c>
      <c r="J46">
        <v>0</v>
      </c>
      <c r="K46">
        <v>3310.879544883163</v>
      </c>
      <c r="L46">
        <v>0</v>
      </c>
      <c r="M46">
        <v>0</v>
      </c>
      <c r="N46">
        <f>-I46-J46+K46+L46+M46</f>
        <v>3310.8795448831634</v>
      </c>
      <c r="O46">
        <f>N46/((1+$D$1)^((H46-$H$4)/365))</f>
        <v>306.07335852427764</v>
      </c>
    </row>
    <row r="47" spans="1:15">
      <c r="A47" s="1">
        <v>55334</v>
      </c>
      <c r="B47">
        <v>0</v>
      </c>
      <c r="C47">
        <v>5670.050508014147</v>
      </c>
      <c r="D47">
        <v>0</v>
      </c>
      <c r="E47">
        <v>0</v>
      </c>
      <c r="F47">
        <f>-B47+C47-D47+E47</f>
        <v>5670.0505080141465</v>
      </c>
      <c r="G47">
        <f>F47/((1+$B$1)^((A47-$A$4)/365))</f>
        <v>1125.20124144425</v>
      </c>
      <c r="H47" s="1">
        <v>55334</v>
      </c>
      <c r="I47">
        <v>0</v>
      </c>
      <c r="J47">
        <v>0</v>
      </c>
      <c r="K47">
        <v>5670.050508014147</v>
      </c>
      <c r="L47">
        <v>0</v>
      </c>
      <c r="M47">
        <v>0</v>
      </c>
      <c r="N47">
        <f>-I47-J47+K47+L47+M47</f>
        <v>5670.0505080141465</v>
      </c>
      <c r="O47">
        <f>N47/((1+$D$1)^((H47-$H$4)/365))</f>
        <v>495.5213034292654</v>
      </c>
    </row>
    <row r="48" spans="1:15">
      <c r="A48" s="1">
        <v>55518</v>
      </c>
      <c r="B48">
        <v>0</v>
      </c>
      <c r="C48">
        <v>5890.693383331732</v>
      </c>
      <c r="D48">
        <v>2515.339010023775</v>
      </c>
      <c r="E48">
        <v>0</v>
      </c>
      <c r="F48">
        <f>-B48+C48-D48+E48</f>
        <v>3375.354373307957</v>
      </c>
      <c r="G48">
        <f>F48/((1+$B$1)^((A48-$A$4)/365))</f>
        <v>644.3375107129148</v>
      </c>
      <c r="H48" s="1">
        <v>55518</v>
      </c>
      <c r="I48">
        <v>0</v>
      </c>
      <c r="J48">
        <v>0</v>
      </c>
      <c r="K48">
        <v>3375.354373307957</v>
      </c>
      <c r="L48">
        <v>0</v>
      </c>
      <c r="M48">
        <v>0</v>
      </c>
      <c r="N48">
        <f>-I48-J48+K48+L48+M48</f>
        <v>3375.354373307957</v>
      </c>
      <c r="O48">
        <f>N48/((1+$D$1)^((H48-$H$4)/365))</f>
        <v>278.6015325823424</v>
      </c>
    </row>
    <row r="49" spans="1:15">
      <c r="A49" s="1">
        <v>55700</v>
      </c>
      <c r="B49">
        <v>0</v>
      </c>
      <c r="C49">
        <v>5810.744260137902</v>
      </c>
      <c r="D49">
        <v>0</v>
      </c>
      <c r="E49">
        <v>0</v>
      </c>
      <c r="F49">
        <f>-B49+C49-D49+E49</f>
        <v>5810.744260137902</v>
      </c>
      <c r="G49">
        <f>F49/((1+$B$1)^((A49-$A$4)/365))</f>
        <v>1067.4799081213773</v>
      </c>
      <c r="H49" s="1">
        <v>55700</v>
      </c>
      <c r="I49">
        <v>0</v>
      </c>
      <c r="J49">
        <v>0</v>
      </c>
      <c r="K49">
        <v>5810.744260137902</v>
      </c>
      <c r="L49">
        <v>0</v>
      </c>
      <c r="M49">
        <v>0</v>
      </c>
      <c r="N49">
        <f>-I49-J49+K49+L49+M49</f>
        <v>5810.744260137902</v>
      </c>
      <c r="O49">
        <f>N49/((1+$D$1)^((H49-$H$4)/365))</f>
        <v>453.2672052569862</v>
      </c>
    </row>
    <row r="50" spans="1:15">
      <c r="A50" s="1">
        <v>55884</v>
      </c>
      <c r="B50">
        <v>0</v>
      </c>
      <c r="C50">
        <v>6003.443014618588</v>
      </c>
      <c r="D50">
        <v>2578.741419488208</v>
      </c>
      <c r="E50">
        <v>0</v>
      </c>
      <c r="F50">
        <f>-B50+C50-D50+E50</f>
        <v>3424.7015951303797</v>
      </c>
      <c r="G50">
        <f>F50/((1+$B$1)^((A50-$A$4)/365))</f>
        <v>605.2035238828746</v>
      </c>
      <c r="H50" s="1">
        <v>55884</v>
      </c>
      <c r="I50">
        <v>0</v>
      </c>
      <c r="J50">
        <v>0</v>
      </c>
      <c r="K50">
        <v>3424.70159513038</v>
      </c>
      <c r="L50">
        <v>0</v>
      </c>
      <c r="M50">
        <v>0</v>
      </c>
      <c r="N50">
        <f>-I50-J50+K50+L50+M50</f>
        <v>3424.7015951303797</v>
      </c>
      <c r="O50">
        <f>N50/((1+$D$1)^((H50-$H$4)/365))</f>
        <v>252.30972785101315</v>
      </c>
    </row>
    <row r="51" spans="1:15">
      <c r="A51" s="1">
        <v>56065</v>
      </c>
      <c r="B51">
        <v>0</v>
      </c>
      <c r="C51">
        <v>5921.740410161152</v>
      </c>
      <c r="D51">
        <v>0</v>
      </c>
      <c r="E51">
        <v>0</v>
      </c>
      <c r="F51">
        <f>-B51+C51-D51+E51</f>
        <v>5921.740410161152</v>
      </c>
      <c r="G51">
        <f>F51/((1+$B$1)^((A51-$A$4)/365))</f>
        <v>1007.2877621754299</v>
      </c>
      <c r="H51" s="1">
        <v>56065</v>
      </c>
      <c r="I51">
        <v>0</v>
      </c>
      <c r="J51">
        <v>0</v>
      </c>
      <c r="K51">
        <v>5921.740410161152</v>
      </c>
      <c r="L51">
        <v>0</v>
      </c>
      <c r="M51">
        <v>0</v>
      </c>
      <c r="N51">
        <f>-I51-J51+K51+L51+M51</f>
        <v>5921.740410161152</v>
      </c>
      <c r="O51">
        <f>N51/((1+$D$1)^((H51-$H$4)/365))</f>
        <v>412.43344806724525</v>
      </c>
    </row>
    <row r="52" spans="1:15">
      <c r="A52" s="1">
        <v>56249</v>
      </c>
      <c r="B52">
        <v>0</v>
      </c>
      <c r="C52">
        <v>6151.672172475101</v>
      </c>
      <c r="D52">
        <v>2643.532196431856</v>
      </c>
      <c r="E52">
        <v>0</v>
      </c>
      <c r="F52">
        <f>-B52+C52-D52+E52</f>
        <v>3508.1399760432446</v>
      </c>
      <c r="G52">
        <f>F52/((1+$B$1)^((A52-$A$4)/365))</f>
        <v>574.0264048208173</v>
      </c>
      <c r="H52" s="1">
        <v>56249</v>
      </c>
      <c r="I52">
        <v>0</v>
      </c>
      <c r="J52">
        <v>0</v>
      </c>
      <c r="K52">
        <v>3508.139976043245</v>
      </c>
      <c r="L52">
        <v>0</v>
      </c>
      <c r="M52">
        <v>0</v>
      </c>
      <c r="N52">
        <f>-I52-J52+K52+L52+M52</f>
        <v>3508.1399760432446</v>
      </c>
      <c r="O52">
        <f>N52/((1+$D$1)^((H52-$H$4)/365))</f>
        <v>230.7651114243162</v>
      </c>
    </row>
    <row r="53" spans="1:15">
      <c r="A53" s="1">
        <v>56430</v>
      </c>
      <c r="B53">
        <v>0</v>
      </c>
      <c r="C53">
        <v>6051.373169663004</v>
      </c>
      <c r="D53">
        <v>0</v>
      </c>
      <c r="E53">
        <v>0</v>
      </c>
      <c r="F53">
        <f>-B53+C53-D53+E53</f>
        <v>6051.373169663004</v>
      </c>
      <c r="G53">
        <f>F53/((1+$B$1)^((A53-$A$4)/365))</f>
        <v>953.0910077799498</v>
      </c>
      <c r="H53" s="1">
        <v>56430</v>
      </c>
      <c r="I53">
        <v>0</v>
      </c>
      <c r="J53">
        <v>0</v>
      </c>
      <c r="K53">
        <v>6051.373169663004</v>
      </c>
      <c r="L53">
        <v>0</v>
      </c>
      <c r="M53">
        <v>0</v>
      </c>
      <c r="N53">
        <f>-I53-J53+K53+L53+M53</f>
        <v>6051.373169663004</v>
      </c>
      <c r="O53">
        <f>N53/((1+$D$1)^((H53-$H$4)/365))</f>
        <v>376.3053790292782</v>
      </c>
    </row>
    <row r="54" spans="1:15">
      <c r="A54" s="1">
        <v>56614</v>
      </c>
      <c r="B54">
        <v>0</v>
      </c>
      <c r="C54">
        <v>6286.089168625973</v>
      </c>
      <c r="D54">
        <v>2709.548216360493</v>
      </c>
      <c r="E54">
        <v>0</v>
      </c>
      <c r="F54">
        <f>-B54+C54-D54+E54</f>
        <v>3576.54095226548</v>
      </c>
      <c r="G54">
        <f>F54/((1+$B$1)^((A54-$A$4)/365))</f>
        <v>541.8691213554645</v>
      </c>
      <c r="H54" s="1">
        <v>56614</v>
      </c>
      <c r="I54">
        <v>0</v>
      </c>
      <c r="J54">
        <v>0</v>
      </c>
      <c r="K54">
        <v>3576.54095226548</v>
      </c>
      <c r="L54">
        <v>0</v>
      </c>
      <c r="M54">
        <v>0</v>
      </c>
      <c r="N54">
        <f>-I54-J54+K54+L54+M54</f>
        <v>3576.54095226548</v>
      </c>
      <c r="O54">
        <f>N54/((1+$D$1)^((H54-$H$4)/365))</f>
        <v>210.05760811166212</v>
      </c>
    </row>
    <row r="55" spans="1:15">
      <c r="A55" s="1">
        <v>56795</v>
      </c>
      <c r="B55">
        <v>0</v>
      </c>
      <c r="C55">
        <v>6183.598584354895</v>
      </c>
      <c r="D55">
        <v>0</v>
      </c>
      <c r="E55">
        <v>0</v>
      </c>
      <c r="F55">
        <f>-B55+C55-D55+E55</f>
        <v>6183.598584354895</v>
      </c>
      <c r="G55">
        <f>F55/((1+$B$1)^((A55-$A$4)/365))</f>
        <v>901.7745414555901</v>
      </c>
      <c r="H55" s="1">
        <v>56795</v>
      </c>
      <c r="I55">
        <v>0</v>
      </c>
      <c r="J55">
        <v>0</v>
      </c>
      <c r="K55">
        <v>6183.598584354895</v>
      </c>
      <c r="L55">
        <v>0</v>
      </c>
      <c r="M55">
        <v>0</v>
      </c>
      <c r="N55">
        <f>-I55-J55+K55+L55+M55</f>
        <v>6183.598584354895</v>
      </c>
      <c r="O55">
        <f>N55/((1+$D$1)^((H55-$H$4)/365))</f>
        <v>343.32842194455435</v>
      </c>
    </row>
    <row r="56" spans="1:15">
      <c r="A56" s="1">
        <v>56979</v>
      </c>
      <c r="B56">
        <v>0</v>
      </c>
      <c r="C56">
        <v>6423.194504699863</v>
      </c>
      <c r="D56">
        <v>2776.863519066975</v>
      </c>
      <c r="E56">
        <v>0</v>
      </c>
      <c r="F56">
        <f>-B56+C56-D56+E56</f>
        <v>3646.3309856328874</v>
      </c>
      <c r="G56">
        <f>F56/((1+$B$1)^((A56-$A$4)/365))</f>
        <v>511.5210772929735</v>
      </c>
      <c r="H56" s="1">
        <v>56979</v>
      </c>
      <c r="I56">
        <v>0</v>
      </c>
      <c r="J56">
        <v>0</v>
      </c>
      <c r="K56">
        <v>3646.330985632887</v>
      </c>
      <c r="L56">
        <v>0</v>
      </c>
      <c r="M56">
        <v>0</v>
      </c>
      <c r="N56">
        <f>-I56-J56+K56+L56+M56</f>
        <v>3646.3309856328874</v>
      </c>
      <c r="O56">
        <f>N56/((1+$D$1)^((H56-$H$4)/365))</f>
        <v>191.2111788836872</v>
      </c>
    </row>
    <row r="57" spans="1:15">
      <c r="A57" s="1">
        <v>57161</v>
      </c>
      <c r="B57">
        <v>0</v>
      </c>
      <c r="C57">
        <v>6336.018219102099</v>
      </c>
      <c r="D57">
        <v>0</v>
      </c>
      <c r="E57">
        <v>0</v>
      </c>
      <c r="F57">
        <f>-B57+C57-D57+E57</f>
        <v>6336.0182191020995</v>
      </c>
      <c r="G57">
        <f>F57/((1+$B$1)^((A57-$A$4)/365))</f>
        <v>855.377399326181</v>
      </c>
      <c r="H57" s="1">
        <v>57161</v>
      </c>
      <c r="I57">
        <v>0</v>
      </c>
      <c r="J57">
        <v>0</v>
      </c>
      <c r="K57">
        <v>6336.018219102099</v>
      </c>
      <c r="L57">
        <v>0</v>
      </c>
      <c r="M57">
        <v>0</v>
      </c>
      <c r="N57">
        <f>-I57-J57+K57+L57+M57</f>
        <v>6336.0182191020995</v>
      </c>
      <c r="O57">
        <f>N57/((1+$D$1)^((H57-$H$4)/365))</f>
        <v>314.00171427711365</v>
      </c>
    </row>
    <row r="58" spans="1:15">
      <c r="A58" s="1">
        <v>57345</v>
      </c>
      <c r="B58">
        <v>0</v>
      </c>
      <c r="C58">
        <v>6545.110138895516</v>
      </c>
      <c r="D58">
        <v>2997.134727171991</v>
      </c>
      <c r="E58">
        <v>0</v>
      </c>
      <c r="F58">
        <f>-B58+C58-D58+E58</f>
        <v>3547.9754117235243</v>
      </c>
      <c r="G58">
        <f>F58/((1+$B$1)^((A58-$A$4)/365))</f>
        <v>460.75782505051245</v>
      </c>
      <c r="H58" s="1">
        <v>57345</v>
      </c>
      <c r="I58">
        <v>0</v>
      </c>
      <c r="J58">
        <v>0</v>
      </c>
      <c r="K58">
        <v>3547.975411723524</v>
      </c>
      <c r="L58">
        <v>0</v>
      </c>
      <c r="M58">
        <v>0</v>
      </c>
      <c r="N58">
        <f>-I58-J58+K58+L58+M58</f>
        <v>3547.9754117235243</v>
      </c>
      <c r="O58">
        <f>N58/((1+$D$1)^((H58-$H$4)/365))</f>
        <v>166.0676063549501</v>
      </c>
    </row>
    <row r="59" spans="1:15">
      <c r="A59" s="1">
        <v>57526</v>
      </c>
      <c r="B59">
        <v>0</v>
      </c>
      <c r="C59">
        <v>6456.035828786066</v>
      </c>
      <c r="D59">
        <v>0</v>
      </c>
      <c r="E59">
        <v>0</v>
      </c>
      <c r="F59">
        <f>-B59+C59-D59+E59</f>
        <v>6456.035828786066</v>
      </c>
      <c r="G59">
        <f>F59/((1+$B$1)^((A59-$A$4)/365))</f>
        <v>807.0185737259131</v>
      </c>
      <c r="H59" s="1">
        <v>57526</v>
      </c>
      <c r="I59">
        <v>0</v>
      </c>
      <c r="J59">
        <v>0</v>
      </c>
      <c r="K59">
        <v>6456.035828786066</v>
      </c>
      <c r="L59">
        <v>0</v>
      </c>
      <c r="M59">
        <v>0</v>
      </c>
      <c r="N59">
        <f>-I59-J59+K59+L59+M59</f>
        <v>6456.035828786066</v>
      </c>
      <c r="O59">
        <f>N59/((1+$D$1)^((H59-$H$4)/365))</f>
        <v>285.6692607547815</v>
      </c>
    </row>
    <row r="60" spans="1:15">
      <c r="A60" s="1">
        <v>57710</v>
      </c>
      <c r="B60">
        <v>0</v>
      </c>
      <c r="C60">
        <v>6705.686339146505</v>
      </c>
      <c r="D60">
        <v>3215.624352297886</v>
      </c>
      <c r="E60">
        <v>0</v>
      </c>
      <c r="F60">
        <f>-B60+C60-D60+E60</f>
        <v>3490.0619868486187</v>
      </c>
      <c r="G60">
        <f>F60/((1+$B$1)^((A60-$A$4)/365))</f>
        <v>419.66379459111045</v>
      </c>
      <c r="H60" s="1">
        <v>57710</v>
      </c>
      <c r="I60">
        <v>0</v>
      </c>
      <c r="J60">
        <v>0</v>
      </c>
      <c r="K60">
        <v>3490.061986848619</v>
      </c>
      <c r="L60">
        <v>0</v>
      </c>
      <c r="M60">
        <v>0</v>
      </c>
      <c r="N60">
        <f>-I60-J60+K60+L60+M60</f>
        <v>3490.0619868486187</v>
      </c>
      <c r="O60">
        <f>N60/((1+$D$1)^((H60-$H$4)/365))</f>
        <v>145.85436887250464</v>
      </c>
    </row>
    <row r="61" spans="1:15">
      <c r="A61" s="1">
        <v>57891</v>
      </c>
      <c r="B61">
        <v>0</v>
      </c>
      <c r="C61">
        <v>6596.354496660418</v>
      </c>
      <c r="D61">
        <v>1602.991335921401</v>
      </c>
      <c r="E61">
        <v>0</v>
      </c>
      <c r="F61">
        <f>-B61+C61-D61+E61</f>
        <v>4993.363160739016</v>
      </c>
      <c r="G61">
        <f>F61/((1+$B$1)^((A61-$A$4)/365))</f>
        <v>577.9456452247933</v>
      </c>
      <c r="H61" s="1">
        <v>57891</v>
      </c>
      <c r="I61">
        <v>0</v>
      </c>
      <c r="J61">
        <v>0</v>
      </c>
      <c r="K61">
        <v>4993.363160739016</v>
      </c>
      <c r="L61">
        <v>0</v>
      </c>
      <c r="M61">
        <v>0</v>
      </c>
      <c r="N61">
        <f>-I61-J61+K61+L61+M61</f>
        <v>4993.363160739016</v>
      </c>
      <c r="O61">
        <f>N61/((1+$D$1)^((H61-$H$4)/365))</f>
        <v>197.2752985176955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7">
      <c r="A1" t="s">
        <v>16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9</v>
      </c>
    </row>
    <row r="2" spans="1:7">
      <c r="A2" s="1">
        <v>48092</v>
      </c>
      <c r="B2">
        <v>4</v>
      </c>
      <c r="C2">
        <v>36505.15795948399</v>
      </c>
      <c r="D2">
        <v>23</v>
      </c>
      <c r="E2">
        <f>SUMPRODUCT(('4_win_BANK_Inputs'!$C$12:$C$65&gt;=B2)*('4_win_BANK_Inputs'!$C$12:$C$65&lt;=D2)*'4_win_BANK_Inputs'!$L$12:$L$65/((1+'4_win_BANK_Inputs'!$B$2)^(('4_win_BANK_Inputs'!$A$12:$A$65-A2)/365)))/C2</f>
        <v>1.2565726298234925</v>
      </c>
      <c r="F2">
        <v>1.256572629823493</v>
      </c>
      <c r="G2">
        <f>E2-F2</f>
        <v>-2.220446049250313e-16</v>
      </c>
    </row>
    <row r="3" spans="1:7">
      <c r="A3" s="1">
        <v>48213</v>
      </c>
      <c r="B3">
        <v>5</v>
      </c>
      <c r="C3">
        <v>35549.78468714524</v>
      </c>
      <c r="D3">
        <v>23</v>
      </c>
      <c r="E3">
        <f>SUMPRODUCT(('4_win_BANK_Inputs'!$C$12:$C$65&gt;=B3)*('4_win_BANK_Inputs'!$C$12:$C$65&lt;=D3)*'4_win_BANK_Inputs'!$L$12:$L$65/((1+'4_win_BANK_Inputs'!$B$2)^(('4_win_BANK_Inputs'!$A$12:$A$65-A3)/365)))/C3</f>
        <v>1.2584203898431643</v>
      </c>
      <c r="F3">
        <v>1.258420389843165</v>
      </c>
      <c r="G3">
        <f>E3-F3</f>
        <v>-4.440892098500626e-16</v>
      </c>
    </row>
    <row r="4" spans="1:7">
      <c r="A4" s="1">
        <v>48395</v>
      </c>
      <c r="B4">
        <v>6</v>
      </c>
      <c r="C4">
        <v>34029.09870152675</v>
      </c>
      <c r="D4">
        <v>23</v>
      </c>
      <c r="E4">
        <f>SUMPRODUCT(('4_win_BANK_Inputs'!$C$12:$C$65&gt;=B4)*('4_win_BANK_Inputs'!$C$12:$C$65&lt;=D4)*'4_win_BANK_Inputs'!$L$12:$L$65/((1+'4_win_BANK_Inputs'!$B$2)^(('4_win_BANK_Inputs'!$A$12:$A$65-A4)/365)))/C4</f>
        <v>1.261743450849055</v>
      </c>
      <c r="F4">
        <v>1.261743450849055</v>
      </c>
      <c r="G4">
        <f>E4-F4</f>
        <v>-4.440892098500626e-16</v>
      </c>
    </row>
    <row r="5" spans="1:7">
      <c r="A5" s="1">
        <v>48579</v>
      </c>
      <c r="B5">
        <v>7</v>
      </c>
      <c r="C5">
        <v>32587.30912296425</v>
      </c>
      <c r="D5">
        <v>23</v>
      </c>
      <c r="E5">
        <f>SUMPRODUCT(('4_win_BANK_Inputs'!$C$12:$C$65&gt;=B5)*('4_win_BANK_Inputs'!$C$12:$C$65&lt;=D5)*'4_win_BANK_Inputs'!$L$12:$L$65/((1+'4_win_BANK_Inputs'!$B$2)^(('4_win_BANK_Inputs'!$A$12:$A$65-A5)/365)))/C5</f>
        <v>1.2652953569045071</v>
      </c>
      <c r="F5">
        <v>1.265295356904507</v>
      </c>
      <c r="G5">
        <f>E5-F5</f>
        <v>-2.220446049250313e-16</v>
      </c>
    </row>
    <row r="6" spans="1:7">
      <c r="A6" s="1">
        <v>48760</v>
      </c>
      <c r="B6">
        <v>8</v>
      </c>
      <c r="C6">
        <v>30927.77840254473</v>
      </c>
      <c r="D6">
        <v>23</v>
      </c>
      <c r="E6">
        <f>SUMPRODUCT(('4_win_BANK_Inputs'!$C$12:$C$65&gt;=B6)*('4_win_BANK_Inputs'!$C$12:$C$65&lt;=D6)*'4_win_BANK_Inputs'!$L$12:$L$65/((1+'4_win_BANK_Inputs'!$B$2)^(('4_win_BANK_Inputs'!$A$12:$A$65-A6)/365)))/C6</f>
        <v>1.269705817650521</v>
      </c>
      <c r="F6">
        <v>1.269705817650521</v>
      </c>
      <c r="G6">
        <f>E6-F6</f>
        <v>-2.220446049250313e-16</v>
      </c>
    </row>
    <row r="7" spans="1:7">
      <c r="A7" s="1">
        <v>48944</v>
      </c>
      <c r="B7">
        <v>9</v>
      </c>
      <c r="C7">
        <v>29397.26206060033</v>
      </c>
      <c r="D7">
        <v>23</v>
      </c>
      <c r="E7">
        <f>SUMPRODUCT(('4_win_BANK_Inputs'!$C$12:$C$65&gt;=B7)*('4_win_BANK_Inputs'!$C$12:$C$65&lt;=D7)*'4_win_BANK_Inputs'!$L$12:$L$65/((1+'4_win_BANK_Inputs'!$B$2)^(('4_win_BANK_Inputs'!$A$12:$A$65-A7)/365)))/C7</f>
        <v>1.2743903790193754</v>
      </c>
      <c r="F7">
        <v>1.274390379019376</v>
      </c>
      <c r="G7">
        <f>E7-F7</f>
        <v>-2.220446049250313e-16</v>
      </c>
    </row>
    <row r="8" spans="1:7">
      <c r="A8" s="1">
        <v>49125</v>
      </c>
      <c r="B8">
        <v>10</v>
      </c>
      <c r="C8">
        <v>27589.90600743119</v>
      </c>
      <c r="D8">
        <v>23</v>
      </c>
      <c r="E8">
        <f>SUMPRODUCT(('4_win_BANK_Inputs'!$C$12:$C$65&gt;=B8)*('4_win_BANK_Inputs'!$C$12:$C$65&lt;=D8)*'4_win_BANK_Inputs'!$L$12:$L$65/((1+'4_win_BANK_Inputs'!$B$2)^(('4_win_BANK_Inputs'!$A$12:$A$65-A8)/365)))/C8</f>
        <v>1.28044129913017</v>
      </c>
      <c r="F8">
        <v>1.28044129913017</v>
      </c>
      <c r="G8">
        <f>E8-F8</f>
        <v>-2.220446049250313e-16</v>
      </c>
    </row>
    <row r="9" spans="1:7">
      <c r="A9" s="1">
        <v>49309</v>
      </c>
      <c r="B9">
        <v>11</v>
      </c>
      <c r="C9">
        <v>25972.03767025975</v>
      </c>
      <c r="D9">
        <v>23</v>
      </c>
      <c r="E9">
        <f>SUMPRODUCT(('4_win_BANK_Inputs'!$C$12:$C$65&gt;=B9)*('4_win_BANK_Inputs'!$C$12:$C$65&lt;=D9)*'4_win_BANK_Inputs'!$L$12:$L$65/((1+'4_win_BANK_Inputs'!$B$2)^(('4_win_BANK_Inputs'!$A$12:$A$65-A9)/365)))/C9</f>
        <v>1.286829914976962</v>
      </c>
      <c r="F9">
        <v>1.286829914976962</v>
      </c>
      <c r="G9">
        <f>E9-F9</f>
        <v>0.0</v>
      </c>
    </row>
    <row r="10" spans="1:7">
      <c r="A10" s="1">
        <v>49490</v>
      </c>
      <c r="B10">
        <v>12</v>
      </c>
      <c r="C10">
        <v>24009.1607445474</v>
      </c>
      <c r="D10">
        <v>23</v>
      </c>
      <c r="E10">
        <f>SUMPRODUCT(('4_win_BANK_Inputs'!$C$12:$C$65&gt;=B10)*('4_win_BANK_Inputs'!$C$12:$C$65&lt;=D10)*'4_win_BANK_Inputs'!$L$12:$L$65/((1+'4_win_BANK_Inputs'!$B$2)^(('4_win_BANK_Inputs'!$A$12:$A$65-A10)/365)))/C10</f>
        <v>1.2954865082970222</v>
      </c>
      <c r="F10">
        <v>1.295486508297022</v>
      </c>
      <c r="G10">
        <f>E10-F10</f>
        <v>-2.220446049250313e-16</v>
      </c>
    </row>
    <row r="11" spans="1:7">
      <c r="A11" s="1">
        <v>49674</v>
      </c>
      <c r="B11">
        <v>13</v>
      </c>
      <c r="C11">
        <v>22299.25622235764</v>
      </c>
      <c r="D11">
        <v>23</v>
      </c>
      <c r="E11">
        <f>SUMPRODUCT(('4_win_BANK_Inputs'!$C$12:$C$65&gt;=B11)*('4_win_BANK_Inputs'!$C$12:$C$65&lt;=D11)*'4_win_BANK_Inputs'!$L$12:$L$65/((1+'4_win_BANK_Inputs'!$B$2)^(('4_win_BANK_Inputs'!$A$12:$A$65-A11)/365)))/C11</f>
        <v>1.3046479405771512</v>
      </c>
      <c r="F11">
        <v>1.304647940577151</v>
      </c>
      <c r="G11">
        <f>E11-F11</f>
        <v>-2.220446049250313e-16</v>
      </c>
    </row>
    <row r="12" spans="1:7">
      <c r="A12" s="1">
        <v>49856</v>
      </c>
      <c r="B12">
        <v>14</v>
      </c>
      <c r="C12">
        <v>20168.58451585425</v>
      </c>
      <c r="D12">
        <v>23</v>
      </c>
      <c r="E12">
        <f>SUMPRODUCT(('4_win_BANK_Inputs'!$C$12:$C$65&gt;=B12)*('4_win_BANK_Inputs'!$C$12:$C$65&lt;=D12)*'4_win_BANK_Inputs'!$L$12:$L$65/((1+'4_win_BANK_Inputs'!$B$2)^(('4_win_BANK_Inputs'!$A$12:$A$65-A12)/365)))/C12</f>
        <v>1.3178401149615064</v>
      </c>
      <c r="F12">
        <v>1.317840114961506</v>
      </c>
      <c r="G12">
        <f>E12-F12</f>
        <v>0.0</v>
      </c>
    </row>
    <row r="13" spans="1:7">
      <c r="A13" s="1">
        <v>50040</v>
      </c>
      <c r="B13">
        <v>15</v>
      </c>
      <c r="C13">
        <v>18452.94582018643</v>
      </c>
      <c r="D13">
        <v>23</v>
      </c>
      <c r="E13">
        <f>SUMPRODUCT(('4_win_BANK_Inputs'!$C$12:$C$65&gt;=B13)*('4_win_BANK_Inputs'!$C$12:$C$65&lt;=D13)*'4_win_BANK_Inputs'!$L$12:$L$65/((1+'4_win_BANK_Inputs'!$B$2)^(('4_win_BANK_Inputs'!$A$12:$A$65-A13)/365)))/C13</f>
        <v>1.3313319294020336</v>
      </c>
      <c r="F13">
        <v>1.331331929402034</v>
      </c>
      <c r="G13">
        <f>E13-F13</f>
        <v>-2.220446049250313e-16</v>
      </c>
    </row>
    <row r="14" spans="1:7">
      <c r="A14" s="1">
        <v>50221</v>
      </c>
      <c r="B14">
        <v>16</v>
      </c>
      <c r="C14">
        <v>16156.86475539737</v>
      </c>
      <c r="D14">
        <v>23</v>
      </c>
      <c r="E14">
        <f>SUMPRODUCT(('4_win_BANK_Inputs'!$C$12:$C$65&gt;=B14)*('4_win_BANK_Inputs'!$C$12:$C$65&lt;=D14)*'4_win_BANK_Inputs'!$L$12:$L$65/((1+'4_win_BANK_Inputs'!$B$2)^(('4_win_BANK_Inputs'!$A$12:$A$65-A14)/365)))/C14</f>
        <v>1.353007976369495</v>
      </c>
      <c r="F14">
        <v>1.353007976369495</v>
      </c>
      <c r="G14">
        <f>E14-F14</f>
        <v>-2.220446049250313e-16</v>
      </c>
    </row>
    <row r="15" spans="1:7">
      <c r="A15" s="1">
        <v>50405</v>
      </c>
      <c r="B15">
        <v>17</v>
      </c>
      <c r="C15">
        <v>14416.10688523183</v>
      </c>
      <c r="D15">
        <v>23</v>
      </c>
      <c r="E15">
        <f>SUMPRODUCT(('4_win_BANK_Inputs'!$C$12:$C$65&gt;=B15)*('4_win_BANK_Inputs'!$C$12:$C$65&lt;=D15)*'4_win_BANK_Inputs'!$L$12:$L$65/((1+'4_win_BANK_Inputs'!$B$2)^(('4_win_BANK_Inputs'!$A$12:$A$65-A15)/365)))/C15</f>
        <v>1.3751623526736931</v>
      </c>
      <c r="F15">
        <v>1.375162352673693</v>
      </c>
      <c r="G15">
        <f>E15-F15</f>
        <v>0.0</v>
      </c>
    </row>
    <row r="16" spans="1:7">
      <c r="A16" s="1">
        <v>50586</v>
      </c>
      <c r="B16">
        <v>18</v>
      </c>
      <c r="C16">
        <v>11943.87042147782</v>
      </c>
      <c r="D16">
        <v>23</v>
      </c>
      <c r="E16">
        <f>SUMPRODUCT(('4_win_BANK_Inputs'!$C$12:$C$65&gt;=B16)*('4_win_BANK_Inputs'!$C$12:$C$65&lt;=D16)*'4_win_BANK_Inputs'!$L$12:$L$65/((1+'4_win_BANK_Inputs'!$B$2)^(('4_win_BANK_Inputs'!$A$12:$A$65-A16)/365)))/C16</f>
        <v>1.4160255736483929</v>
      </c>
      <c r="F16">
        <v>1.416025573648393</v>
      </c>
      <c r="G16">
        <f>E16-F16</f>
        <v>-2.220446049250313e-16</v>
      </c>
    </row>
    <row r="17" spans="1:7">
      <c r="A17" s="1">
        <v>50770</v>
      </c>
      <c r="B17">
        <v>19</v>
      </c>
      <c r="C17">
        <v>10098.57201562143</v>
      </c>
      <c r="D17">
        <v>23</v>
      </c>
      <c r="E17">
        <f>SUMPRODUCT(('4_win_BANK_Inputs'!$C$12:$C$65&gt;=B17)*('4_win_BANK_Inputs'!$C$12:$C$65&lt;=D17)*'4_win_BANK_Inputs'!$L$12:$L$65/((1+'4_win_BANK_Inputs'!$B$2)^(('4_win_BANK_Inputs'!$A$12:$A$65-A17)/365)))/C17</f>
        <v>1.461420645993763</v>
      </c>
      <c r="F17">
        <v>1.461420645993763</v>
      </c>
      <c r="G17">
        <f>E17-F17</f>
        <v>-2.220446049250313e-16</v>
      </c>
    </row>
    <row r="18" spans="1:7">
      <c r="A18" s="1">
        <v>50951</v>
      </c>
      <c r="B18">
        <v>20</v>
      </c>
      <c r="C18">
        <v>7441.127618818859</v>
      </c>
      <c r="D18">
        <v>23</v>
      </c>
      <c r="E18">
        <f>SUMPRODUCT(('4_win_BANK_Inputs'!$C$12:$C$65&gt;=B18)*('4_win_BANK_Inputs'!$C$12:$C$65&lt;=D18)*'4_win_BANK_Inputs'!$L$12:$L$65/((1+'4_win_BANK_Inputs'!$B$2)^(('4_win_BANK_Inputs'!$A$12:$A$65-A18)/365)))/C18</f>
        <v>1.5631111010099816</v>
      </c>
      <c r="F18">
        <v>1.563111101009982</v>
      </c>
      <c r="G18">
        <f>E18-F18</f>
        <v>0.0</v>
      </c>
    </row>
    <row r="19" spans="1:7">
      <c r="A19" s="1">
        <v>51135</v>
      </c>
      <c r="B19">
        <v>21</v>
      </c>
      <c r="C19">
        <v>5485.769502354178</v>
      </c>
      <c r="D19">
        <v>23</v>
      </c>
      <c r="E19">
        <f>SUMPRODUCT(('4_win_BANK_Inputs'!$C$12:$C$65&gt;=B19)*('4_win_BANK_Inputs'!$C$12:$C$65&lt;=D19)*'4_win_BANK_Inputs'!$L$12:$L$65/((1+'4_win_BANK_Inputs'!$B$2)^(('4_win_BANK_Inputs'!$A$12:$A$65-A19)/365)))/C19</f>
        <v>1.704788039285013</v>
      </c>
      <c r="F19">
        <v>1.704788039285013</v>
      </c>
      <c r="G19">
        <f>E19-F19</f>
        <v>-2.220446049250313e-16</v>
      </c>
    </row>
    <row r="20" spans="1:7">
      <c r="A20" s="1">
        <v>51317</v>
      </c>
      <c r="B20">
        <v>22</v>
      </c>
      <c r="C20">
        <v>2626.130766054908</v>
      </c>
      <c r="D20">
        <v>23</v>
      </c>
      <c r="E20">
        <f>SUMPRODUCT(('4_win_BANK_Inputs'!$C$12:$C$65&gt;=B20)*('4_win_BANK_Inputs'!$C$12:$C$65&lt;=D20)*'4_win_BANK_Inputs'!$L$12:$L$65/((1+'4_win_BANK_Inputs'!$B$2)^(('4_win_BANK_Inputs'!$A$12:$A$65-A20)/365)))/C20</f>
        <v>2.28111307444791</v>
      </c>
      <c r="F20">
        <v>2.28111307444791</v>
      </c>
      <c r="G20">
        <f>E20-F20</f>
        <v>0.0</v>
      </c>
    </row>
    <row r="21" spans="1:7">
      <c r="A21" s="1">
        <v>51501</v>
      </c>
      <c r="B21">
        <v>23</v>
      </c>
      <c r="C21">
        <v>563.1046600247992</v>
      </c>
      <c r="D21">
        <v>23</v>
      </c>
      <c r="E21">
        <f>SUMPRODUCT(('4_win_BANK_Inputs'!$C$12:$C$65&gt;=B21)*('4_win_BANK_Inputs'!$C$12:$C$65&lt;=D21)*'4_win_BANK_Inputs'!$L$12:$L$65/((1+'4_win_BANK_Inputs'!$B$2)^(('4_win_BANK_Inputs'!$A$12:$A$65-A21)/365)))/C21</f>
        <v>6.375670222487955</v>
      </c>
      <c r="F21">
        <v>6.375670222487955</v>
      </c>
      <c r="G21">
        <f>E21-F21</f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51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6" width="21.7109375" customWidth="1"/>
  </cols>
  <sheetData>
    <row r="1" spans="1:16">
      <c r="A1" t="s">
        <v>12</v>
      </c>
      <c r="B1" t="s">
        <v>74</v>
      </c>
      <c r="C1" t="s">
        <v>75</v>
      </c>
    </row>
    <row r="2" spans="1:16">
      <c r="A2" t="s">
        <v>15</v>
      </c>
      <c r="B2">
        <v>0.055</v>
      </c>
    </row>
    <row r="3" spans="1:16">
      <c r="A3" t="s">
        <v>16</v>
      </c>
      <c r="B3" s="1">
        <v>48214</v>
      </c>
    </row>
    <row r="4" spans="1:16">
      <c r="A4" t="s">
        <v>17</v>
      </c>
      <c r="B4" s="1">
        <v>52596</v>
      </c>
    </row>
    <row r="5" spans="1:16">
      <c r="A5" t="s">
        <v>18</v>
      </c>
      <c r="B5" s="1">
        <v>51317</v>
      </c>
    </row>
    <row r="6" spans="1:16">
      <c r="A6" t="s">
        <v>19</v>
      </c>
      <c r="B6" s="1">
        <v>55518</v>
      </c>
    </row>
    <row r="8" spans="1:16">
      <c r="A8" t="s">
        <v>20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</row>
    <row r="12" spans="1:16">
      <c r="A12" s="1">
        <v>48395</v>
      </c>
      <c r="B12" s="1">
        <v>48214</v>
      </c>
      <c r="C12">
        <v>4</v>
      </c>
      <c r="D12">
        <v>2302.966338797814</v>
      </c>
      <c r="E12">
        <v>2302.966338797814</v>
      </c>
      <c r="F12">
        <v>2302.966338797814</v>
      </c>
      <c r="G12">
        <v>0</v>
      </c>
      <c r="H12">
        <v>0</v>
      </c>
      <c r="I12">
        <f>F12+G12-H12</f>
        <v>2302.9663387978144</v>
      </c>
      <c r="J12">
        <f>I12-D12</f>
        <v>0.0</v>
      </c>
      <c r="K12">
        <v>58410.96179501392</v>
      </c>
      <c r="L12">
        <f>I12</f>
        <v>2302.9663387978144</v>
      </c>
      <c r="M12">
        <f>(1+$B$2)^((A12-$B$3)/365)</f>
        <v>1.0269059536680807</v>
      </c>
      <c r="N12">
        <f>IF(A12&lt;=$B$4,L12/M12,0)</f>
        <v>2242.626338440906</v>
      </c>
      <c r="O12">
        <f>IF(A12&lt;=$B$5,L12/M12,0)</f>
        <v>2242.626338440906</v>
      </c>
      <c r="P12">
        <f>IF(A12&lt;=$B$6,L12/M12,0)</f>
        <v>2242.626338440906</v>
      </c>
    </row>
    <row r="13" spans="1:16">
      <c r="A13" s="1">
        <v>48579</v>
      </c>
      <c r="B13" s="1">
        <v>48395</v>
      </c>
      <c r="C13">
        <v>5</v>
      </c>
      <c r="D13">
        <v>2328.273661202185</v>
      </c>
      <c r="E13">
        <v>2328.273661202185</v>
      </c>
      <c r="F13">
        <v>2328.273661202185</v>
      </c>
      <c r="G13">
        <v>0</v>
      </c>
      <c r="H13">
        <v>0</v>
      </c>
      <c r="I13">
        <f>F13+G13-H13</f>
        <v>2328.2736612021854</v>
      </c>
      <c r="J13">
        <f>I13-D13</f>
        <v>0.0</v>
      </c>
      <c r="K13">
        <v>58401.5132408575</v>
      </c>
      <c r="L13">
        <f>I13</f>
        <v>2328.2736612021854</v>
      </c>
      <c r="M13">
        <f>(1+$B$2)^((A13-$B$3)/365)</f>
        <v>1.055</v>
      </c>
      <c r="N13">
        <f>IF(A13&lt;=$B$4,L13/M13,0)</f>
        <v>2206.894465594489</v>
      </c>
      <c r="O13">
        <f>IF(A13&lt;=$B$5,L13/M13,0)</f>
        <v>2206.894465594489</v>
      </c>
      <c r="P13">
        <f>IF(A13&lt;=$B$6,L13/M13,0)</f>
        <v>2206.894465594489</v>
      </c>
    </row>
    <row r="14" spans="1:16">
      <c r="A14" s="1">
        <v>48760</v>
      </c>
      <c r="B14" s="1">
        <v>48579</v>
      </c>
      <c r="C14">
        <v>6</v>
      </c>
      <c r="D14">
        <v>4319.480797808219</v>
      </c>
      <c r="E14">
        <v>4319.480797808219</v>
      </c>
      <c r="F14">
        <v>4319.480797808219</v>
      </c>
      <c r="G14">
        <v>0</v>
      </c>
      <c r="H14">
        <v>0</v>
      </c>
      <c r="I14">
        <f>F14+G14-H14</f>
        <v>4319.480797808219</v>
      </c>
      <c r="J14">
        <f>I14-D14</f>
        <v>0.0</v>
      </c>
      <c r="K14">
        <v>58401.5132408575</v>
      </c>
      <c r="L14">
        <f>I14</f>
        <v>4319.480797808219</v>
      </c>
      <c r="M14">
        <f>(1+$B$2)^((A14-$B$3)/365)</f>
        <v>1.083385781119825</v>
      </c>
      <c r="N14">
        <f>IF(A14&lt;=$B$4,L14/M14,0)</f>
        <v>3987.020019169399</v>
      </c>
      <c r="O14">
        <f>IF(A14&lt;=$B$5,L14/M14,0)</f>
        <v>3987.020019169399</v>
      </c>
      <c r="P14">
        <f>IF(A14&lt;=$B$6,L14/M14,0)</f>
        <v>3987.020019169399</v>
      </c>
    </row>
    <row r="15" spans="1:16">
      <c r="A15" s="1">
        <v>48944</v>
      </c>
      <c r="B15" s="1">
        <v>48760</v>
      </c>
      <c r="C15">
        <v>7</v>
      </c>
      <c r="D15">
        <v>4391.07440219178</v>
      </c>
      <c r="E15">
        <v>4391.07440219178</v>
      </c>
      <c r="F15">
        <v>4391.07440219178</v>
      </c>
      <c r="G15">
        <v>0</v>
      </c>
      <c r="H15">
        <v>0</v>
      </c>
      <c r="I15">
        <f>F15+G15-H15</f>
        <v>4391.07440219178</v>
      </c>
      <c r="J15">
        <f>I15-D15</f>
        <v>0.0</v>
      </c>
      <c r="K15">
        <v>56840.61468684782</v>
      </c>
      <c r="L15">
        <f>I15</f>
        <v>4391.07440219178</v>
      </c>
      <c r="M15">
        <f>(1+$B$2)^((A15-$B$3)/365)</f>
        <v>1.113025</v>
      </c>
      <c r="N15">
        <f>IF(A15&lt;=$B$4,L15/M15,0)</f>
        <v>3945.171404228818</v>
      </c>
      <c r="O15">
        <f>IF(A15&lt;=$B$5,L15/M15,0)</f>
        <v>3945.171404228818</v>
      </c>
      <c r="P15">
        <f>IF(A15&lt;=$B$6,L15/M15,0)</f>
        <v>3945.171404228818</v>
      </c>
    </row>
    <row r="16" spans="1:16">
      <c r="A16" s="1">
        <v>49125</v>
      </c>
      <c r="B16" s="1">
        <v>48944</v>
      </c>
      <c r="C16">
        <v>8</v>
      </c>
      <c r="D16">
        <v>6422.371185402741</v>
      </c>
      <c r="E16">
        <v>6422.371185402741</v>
      </c>
      <c r="F16">
        <v>6422.371185402741</v>
      </c>
      <c r="G16">
        <v>0</v>
      </c>
      <c r="H16">
        <v>0</v>
      </c>
      <c r="I16">
        <f>F16+G16-H16</f>
        <v>6422.371185402741</v>
      </c>
      <c r="J16">
        <f>I16-D16</f>
        <v>0.0</v>
      </c>
      <c r="K16">
        <v>55205.97733043029</v>
      </c>
      <c r="L16">
        <f>I16</f>
        <v>6422.371185402741</v>
      </c>
      <c r="M16">
        <f>(1+$B$2)^((A16-$B$3)/365)</f>
        <v>1.1429719990814153</v>
      </c>
      <c r="N16">
        <f>IF(A16&lt;=$B$4,L16/M16,0)</f>
        <v>5619.010081230579</v>
      </c>
      <c r="O16">
        <f>IF(A16&lt;=$B$5,L16/M16,0)</f>
        <v>5619.010081230579</v>
      </c>
      <c r="P16">
        <f>IF(A16&lt;=$B$6,L16/M16,0)</f>
        <v>5619.010081230579</v>
      </c>
    </row>
    <row r="17" spans="1:16">
      <c r="A17" s="1">
        <v>49309</v>
      </c>
      <c r="B17" s="1">
        <v>49125</v>
      </c>
      <c r="C17">
        <v>9</v>
      </c>
      <c r="D17">
        <v>6528.81932659726</v>
      </c>
      <c r="E17">
        <v>6528.81932659726</v>
      </c>
      <c r="F17">
        <v>6528.81932659726</v>
      </c>
      <c r="G17">
        <v>0</v>
      </c>
      <c r="H17">
        <v>0</v>
      </c>
      <c r="I17">
        <f>F17+G17-H17</f>
        <v>6528.81932659726</v>
      </c>
      <c r="J17">
        <f>I17-D17</f>
        <v>0.0</v>
      </c>
      <c r="K17">
        <v>51931.07211933206</v>
      </c>
      <c r="L17">
        <f>I17</f>
        <v>6528.81932659726</v>
      </c>
      <c r="M17">
        <f>(1+$B$2)^((A17-$B$3)/365)</f>
        <v>1.1742413749999998</v>
      </c>
      <c r="N17">
        <f>IF(A17&lt;=$B$4,L17/M17,0)</f>
        <v>5560.0317495176505</v>
      </c>
      <c r="O17">
        <f>IF(A17&lt;=$B$5,L17/M17,0)</f>
        <v>5560.0317495176505</v>
      </c>
      <c r="P17">
        <f>IF(A17&lt;=$B$6,L17/M17,0)</f>
        <v>5560.0317495176505</v>
      </c>
    </row>
    <row r="18" spans="1:16">
      <c r="A18" s="1">
        <v>49490</v>
      </c>
      <c r="B18" s="1">
        <v>49309</v>
      </c>
      <c r="C18">
        <v>10</v>
      </c>
      <c r="D18">
        <v>6550.818609110796</v>
      </c>
      <c r="E18">
        <v>6550.818609110796</v>
      </c>
      <c r="F18">
        <v>6550.818609110796</v>
      </c>
      <c r="G18">
        <v>0</v>
      </c>
      <c r="H18">
        <v>0</v>
      </c>
      <c r="I18">
        <f>F18+G18-H18</f>
        <v>6550.818609110796</v>
      </c>
      <c r="J18">
        <f>I18-D18</f>
        <v>0.0</v>
      </c>
      <c r="K18">
        <v>48501.45628489112</v>
      </c>
      <c r="L18">
        <f>I18</f>
        <v>6550.818609110796</v>
      </c>
      <c r="M18">
        <f>(1+$B$2)^((A18-$B$3)/365)</f>
        <v>1.205835459030893</v>
      </c>
      <c r="N18">
        <f>IF(A18&lt;=$B$4,L18/M18,0)</f>
        <v>5432.597424507291</v>
      </c>
      <c r="O18">
        <f>IF(A18&lt;=$B$5,L18/M18,0)</f>
        <v>5432.597424507291</v>
      </c>
      <c r="P18">
        <f>IF(A18&lt;=$B$6,L18/M18,0)</f>
        <v>5432.597424507291</v>
      </c>
    </row>
    <row r="19" spans="1:16">
      <c r="A19" s="1">
        <v>49674</v>
      </c>
      <c r="B19" s="1">
        <v>49490</v>
      </c>
      <c r="C19">
        <v>11</v>
      </c>
      <c r="D19">
        <v>6659.395713129206</v>
      </c>
      <c r="E19">
        <v>6659.395713129206</v>
      </c>
      <c r="F19">
        <v>6659.395713129206</v>
      </c>
      <c r="G19">
        <v>0</v>
      </c>
      <c r="H19">
        <v>0</v>
      </c>
      <c r="I19">
        <f>F19+G19-H19</f>
        <v>6659.395713129206</v>
      </c>
      <c r="J19">
        <f>I19-D19</f>
        <v>0.0</v>
      </c>
      <c r="K19">
        <v>44925.4923117078</v>
      </c>
      <c r="L19">
        <f>I19</f>
        <v>6659.395713129206</v>
      </c>
      <c r="M19">
        <f>(1+$B$2)^((A19-$B$3)/365)</f>
        <v>1.2388246506249998</v>
      </c>
      <c r="N19">
        <f>IF(A19&lt;=$B$4,L19/M19,0)</f>
        <v>5375.5757199128</v>
      </c>
      <c r="O19">
        <f>IF(A19&lt;=$B$5,L19/M19,0)</f>
        <v>5375.5757199128</v>
      </c>
      <c r="P19">
        <f>IF(A19&lt;=$B$6,L19/M19,0)</f>
        <v>5375.5757199128</v>
      </c>
    </row>
    <row r="20" spans="1:16">
      <c r="A20" s="1">
        <v>49856</v>
      </c>
      <c r="B20" s="1">
        <v>49674</v>
      </c>
      <c r="C20">
        <v>12</v>
      </c>
      <c r="D20">
        <v>6700.393952952551</v>
      </c>
      <c r="E20">
        <v>6700.393952952551</v>
      </c>
      <c r="F20">
        <v>6700.393952952551</v>
      </c>
      <c r="G20">
        <v>0</v>
      </c>
      <c r="H20">
        <v>0</v>
      </c>
      <c r="I20">
        <f>F20+G20-H20</f>
        <v>6700.3939529525505</v>
      </c>
      <c r="J20">
        <f>I20-D20</f>
        <v>0.0</v>
      </c>
      <c r="K20">
        <v>41180.59532224437</v>
      </c>
      <c r="L20">
        <f>I20</f>
        <v>6700.3939529525505</v>
      </c>
      <c r="M20">
        <f>(1+$B$2)^((A20-$B$3)/365)</f>
        <v>1.2723430318135918</v>
      </c>
      <c r="N20">
        <f>IF(A20&lt;=$B$4,L20/M20,0)</f>
        <v>5266.1851288656335</v>
      </c>
      <c r="O20">
        <f>IF(A20&lt;=$B$5,L20/M20,0)</f>
        <v>5266.1851288656335</v>
      </c>
      <c r="P20">
        <f>IF(A20&lt;=$B$6,L20/M20,0)</f>
        <v>5266.1851288656335</v>
      </c>
    </row>
    <row r="21" spans="1:16">
      <c r="A21" s="1">
        <v>50040</v>
      </c>
      <c r="B21" s="1">
        <v>49856</v>
      </c>
      <c r="C21">
        <v>13</v>
      </c>
      <c r="D21">
        <v>6774.024655732248</v>
      </c>
      <c r="E21">
        <v>6774.024655732248</v>
      </c>
      <c r="F21">
        <v>6774.024655732248</v>
      </c>
      <c r="G21">
        <v>0</v>
      </c>
      <c r="H21">
        <v>0</v>
      </c>
      <c r="I21">
        <f>F21+G21-H21</f>
        <v>6774.024655732248</v>
      </c>
      <c r="J21">
        <f>I21-D21</f>
        <v>0.0</v>
      </c>
      <c r="K21">
        <v>37275.59085244023</v>
      </c>
      <c r="L21">
        <f>I21</f>
        <v>6774.024655732248</v>
      </c>
      <c r="M21">
        <f>(1+$B$2)^((A21-$B$3)/365)</f>
        <v>1.3071517345562182</v>
      </c>
      <c r="N21">
        <f>IF(A21&lt;=$B$4,L21/M21,0)</f>
        <v>5182.278749017649</v>
      </c>
      <c r="O21">
        <f>IF(A21&lt;=$B$5,L21/M21,0)</f>
        <v>5182.278749017649</v>
      </c>
      <c r="P21">
        <f>IF(A21&lt;=$B$6,L21/M21,0)</f>
        <v>5182.278749017649</v>
      </c>
    </row>
    <row r="22" spans="1:16">
      <c r="A22" s="1">
        <v>50221</v>
      </c>
      <c r="B22" s="1">
        <v>50040</v>
      </c>
      <c r="C22">
        <v>14</v>
      </c>
      <c r="D22">
        <v>6815.471680918872</v>
      </c>
      <c r="E22">
        <v>6815.471680918872</v>
      </c>
      <c r="F22">
        <v>6815.471680918872</v>
      </c>
      <c r="G22">
        <v>0</v>
      </c>
      <c r="H22">
        <v>0</v>
      </c>
      <c r="I22">
        <f>F22+G22-H22</f>
        <v>6815.471680918872</v>
      </c>
      <c r="J22">
        <f>I22-D22</f>
        <v>0.0</v>
      </c>
      <c r="K22">
        <v>33207.92077519796</v>
      </c>
      <c r="L22">
        <f>I22</f>
        <v>6815.471680918872</v>
      </c>
      <c r="M22">
        <f>(1+$B$2)^((A22-$B$3)/365)</f>
        <v>1.3423218985633392</v>
      </c>
      <c r="N22">
        <f>IF(A22&lt;=$B$4,L22/M22,0)</f>
        <v>5077.3750232439315</v>
      </c>
      <c r="O22">
        <f>IF(A22&lt;=$B$5,L22/M22,0)</f>
        <v>5077.3750232439315</v>
      </c>
      <c r="P22">
        <f>IF(A22&lt;=$B$6,L22/M22,0)</f>
        <v>5077.3750232439315</v>
      </c>
    </row>
    <row r="23" spans="1:16">
      <c r="A23" s="1">
        <v>50405</v>
      </c>
      <c r="B23" s="1">
        <v>50221</v>
      </c>
      <c r="C23">
        <v>15</v>
      </c>
      <c r="D23">
        <v>6928.435299939627</v>
      </c>
      <c r="E23">
        <v>6928.435299939627</v>
      </c>
      <c r="F23">
        <v>6928.435299939627</v>
      </c>
      <c r="G23">
        <v>0</v>
      </c>
      <c r="H23">
        <v>0</v>
      </c>
      <c r="I23">
        <f>F23+G23-H23</f>
        <v>6928.435299939627</v>
      </c>
      <c r="J23">
        <f>I23-D23</f>
        <v>0.0</v>
      </c>
      <c r="K23">
        <v>28967.02252813268</v>
      </c>
      <c r="L23">
        <f>I23</f>
        <v>6928.435299939627</v>
      </c>
      <c r="M23">
        <f>(1+$B$2)^((A23-$B$3)/365)</f>
        <v>1.3790450799568101</v>
      </c>
      <c r="N23">
        <f>IF(A23&lt;=$B$4,L23/M23,0)</f>
        <v>5024.081808954799</v>
      </c>
      <c r="O23">
        <f>IF(A23&lt;=$B$5,L23/M23,0)</f>
        <v>5024.081808954799</v>
      </c>
      <c r="P23">
        <f>IF(A23&lt;=$B$6,L23/M23,0)</f>
        <v>5024.081808954799</v>
      </c>
    </row>
    <row r="24" spans="1:16">
      <c r="A24" s="1">
        <v>50586</v>
      </c>
      <c r="B24" s="1">
        <v>50405</v>
      </c>
      <c r="C24">
        <v>16</v>
      </c>
      <c r="D24">
        <v>6951.781114537245</v>
      </c>
      <c r="E24">
        <v>6951.781114537245</v>
      </c>
      <c r="F24">
        <v>6951.781114537245</v>
      </c>
      <c r="G24">
        <v>0</v>
      </c>
      <c r="H24">
        <v>0</v>
      </c>
      <c r="I24">
        <f>F24+G24-H24</f>
        <v>6951.781114537245</v>
      </c>
      <c r="J24">
        <f>I24-D24</f>
        <v>0.0</v>
      </c>
      <c r="K24">
        <v>24525.77893699057</v>
      </c>
      <c r="L24">
        <f>I24</f>
        <v>6951.781114537245</v>
      </c>
      <c r="M24">
        <f>(1+$B$2)^((A24-$B$3)/365)</f>
        <v>1.4161496029843228</v>
      </c>
      <c r="N24">
        <f>IF(A24&lt;=$B$4,L24/M24,0)</f>
        <v>4908.931302093656</v>
      </c>
      <c r="O24">
        <f>IF(A24&lt;=$B$5,L24/M24,0)</f>
        <v>4908.931302093656</v>
      </c>
      <c r="P24">
        <f>IF(A24&lt;=$B$6,L24/M24,0)</f>
        <v>4908.931302093656</v>
      </c>
    </row>
    <row r="25" spans="1:16">
      <c r="A25" s="1">
        <v>50770</v>
      </c>
      <c r="B25" s="1">
        <v>50586</v>
      </c>
      <c r="C25">
        <v>17</v>
      </c>
      <c r="D25">
        <v>7067.004005938419</v>
      </c>
      <c r="E25">
        <v>7067.004005938419</v>
      </c>
      <c r="F25">
        <v>7067.004005938419</v>
      </c>
      <c r="G25">
        <v>0</v>
      </c>
      <c r="H25">
        <v>0</v>
      </c>
      <c r="I25">
        <f>F25+G25-H25</f>
        <v>7067.004005938419</v>
      </c>
      <c r="J25">
        <f>I25-D25</f>
        <v>0.0</v>
      </c>
      <c r="K25">
        <v>19918.1160006637</v>
      </c>
      <c r="L25">
        <f>I25</f>
        <v>7067.004005938419</v>
      </c>
      <c r="M25">
        <f>(1+$B$2)^((A25-$B$3)/365)</f>
        <v>1.4548925593544346</v>
      </c>
      <c r="N25">
        <f>IF(A25&lt;=$B$4,L25/M25,0)</f>
        <v>4857.406109131654</v>
      </c>
      <c r="O25">
        <f>IF(A25&lt;=$B$5,L25/M25,0)</f>
        <v>4857.406109131654</v>
      </c>
      <c r="P25">
        <f>IF(A25&lt;=$B$6,L25/M25,0)</f>
        <v>4857.406109131654</v>
      </c>
    </row>
    <row r="26" spans="1:16">
      <c r="A26" s="1">
        <v>50951</v>
      </c>
      <c r="B26" s="1">
        <v>50770</v>
      </c>
      <c r="C26">
        <v>18</v>
      </c>
      <c r="D26">
        <v>7090.816736827996</v>
      </c>
      <c r="E26">
        <v>7090.816736827996</v>
      </c>
      <c r="F26">
        <v>7090.816736827996</v>
      </c>
      <c r="G26">
        <v>0</v>
      </c>
      <c r="H26">
        <v>0</v>
      </c>
      <c r="I26">
        <f>F26+G26-H26</f>
        <v>7090.816736827996</v>
      </c>
      <c r="J26">
        <f>I26-D26</f>
        <v>0.0</v>
      </c>
      <c r="K26">
        <v>15092.78129703912</v>
      </c>
      <c r="L26">
        <f>I26</f>
        <v>7090.816736827996</v>
      </c>
      <c r="M26">
        <f>(1+$B$2)^((A26-$B$3)/365)</f>
        <v>1.4940378311484603</v>
      </c>
      <c r="N26">
        <f>IF(A26&lt;=$B$4,L26/M26,0)</f>
        <v>4746.075761265908</v>
      </c>
      <c r="O26">
        <f>IF(A26&lt;=$B$5,L26/M26,0)</f>
        <v>4746.075761265908</v>
      </c>
      <c r="P26">
        <f>IF(A26&lt;=$B$6,L26/M26,0)</f>
        <v>4746.075761265908</v>
      </c>
    </row>
    <row r="27" spans="1:16">
      <c r="A27" s="1">
        <v>51135</v>
      </c>
      <c r="B27" s="1">
        <v>50951</v>
      </c>
      <c r="C27">
        <v>19</v>
      </c>
      <c r="D27">
        <v>7208.344086057186</v>
      </c>
      <c r="E27">
        <v>7208.344086057186</v>
      </c>
      <c r="F27">
        <v>7208.344086057186</v>
      </c>
      <c r="G27">
        <v>0</v>
      </c>
      <c r="H27">
        <v>0</v>
      </c>
      <c r="I27">
        <f>F27+G27-H27</f>
        <v>7208.344086057186</v>
      </c>
      <c r="J27">
        <f>I27-D27</f>
        <v>0.0</v>
      </c>
      <c r="K27">
        <v>10093.60578655519</v>
      </c>
      <c r="L27">
        <f>I27</f>
        <v>7208.344086057186</v>
      </c>
      <c r="M27">
        <f>(1+$B$2)^((A27-$B$3)/365)</f>
        <v>1.5349116501189284</v>
      </c>
      <c r="N27">
        <f>IF(A27&lt;=$B$4,L27/M27,0)</f>
        <v>4696.259934895059</v>
      </c>
      <c r="O27">
        <f>IF(A27&lt;=$B$5,L27/M27,0)</f>
        <v>4696.259934895059</v>
      </c>
      <c r="P27">
        <f>IF(A27&lt;=$B$6,L27/M27,0)</f>
        <v>4696.259934895059</v>
      </c>
    </row>
    <row r="28" spans="1:16">
      <c r="A28" s="1">
        <v>51317</v>
      </c>
      <c r="B28" s="1">
        <v>51135</v>
      </c>
      <c r="C28">
        <v>20</v>
      </c>
      <c r="D28">
        <v>7252.72189934537</v>
      </c>
      <c r="E28">
        <v>7252.72189934537</v>
      </c>
      <c r="F28">
        <v>7252.72189934537</v>
      </c>
      <c r="G28">
        <v>0</v>
      </c>
      <c r="H28">
        <v>0</v>
      </c>
      <c r="I28">
        <f>F28+G28-H28</f>
        <v>7252.72189934537</v>
      </c>
      <c r="J28">
        <f>I28-D28</f>
        <v>0.0</v>
      </c>
      <c r="K28">
        <v>4858.262964478378</v>
      </c>
      <c r="L28">
        <f>I28</f>
        <v>7252.72189934537</v>
      </c>
      <c r="M28">
        <f>(1+$B$2)^((A28-$B$3)/365)</f>
        <v>1.5764411383750276</v>
      </c>
      <c r="N28">
        <f>IF(A28&lt;=$B$4,L28/M28,0)</f>
        <v>4600.693119960933</v>
      </c>
      <c r="O28">
        <f>IF(A28&lt;=$B$5,L28/M28,0)</f>
        <v>4600.693119960933</v>
      </c>
      <c r="P28">
        <f>IF(A28&lt;=$B$6,L28/M28,0)</f>
        <v>4600.693119960933</v>
      </c>
    </row>
    <row r="29" spans="1:16">
      <c r="A29" s="1">
        <v>51501</v>
      </c>
      <c r="B29" s="1">
        <v>51317</v>
      </c>
      <c r="C29">
        <v>21</v>
      </c>
      <c r="D29">
        <v>7332.422139997519</v>
      </c>
      <c r="E29">
        <v>7332.422139997519</v>
      </c>
      <c r="F29">
        <v>7332.422139997519</v>
      </c>
      <c r="G29">
        <v>0</v>
      </c>
      <c r="H29">
        <v>0</v>
      </c>
      <c r="I29">
        <f>F29+G29-H29</f>
        <v>7332.4221399975195</v>
      </c>
      <c r="J29">
        <f>I29-D29</f>
        <v>0.0</v>
      </c>
      <c r="K29">
        <v>0</v>
      </c>
      <c r="L29">
        <f>I29</f>
        <v>7332.4221399975195</v>
      </c>
      <c r="M29">
        <f>(1+$B$2)^((A29-$B$3)/365)</f>
        <v>1.619569343273299</v>
      </c>
      <c r="N29">
        <f>IF(A29&lt;=$B$4,L29/M29,0)</f>
        <v>4527.3900561602495</v>
      </c>
      <c r="O29">
        <f>IF(A29&lt;=$B$5,L29/M29,0)</f>
        <v>0</v>
      </c>
      <c r="P29">
        <f>IF(A29&lt;=$B$6,L29/M29,0)</f>
        <v>4527.3900561602495</v>
      </c>
    </row>
    <row r="30" spans="1:16">
      <c r="A30" s="1">
        <v>51682</v>
      </c>
      <c r="B30" s="1">
        <v>51501</v>
      </c>
      <c r="C30">
        <v>22</v>
      </c>
      <c r="D30">
        <v>7377.285732995844</v>
      </c>
      <c r="E30">
        <v>7377.285732995844</v>
      </c>
      <c r="F30">
        <v>7377.285732995844</v>
      </c>
      <c r="G30">
        <v>0</v>
      </c>
      <c r="H30">
        <v>0</v>
      </c>
      <c r="I30">
        <f>F30+G30-H30</f>
        <v>7377.285732995844</v>
      </c>
      <c r="J30">
        <f>I30-D30</f>
        <v>0.0</v>
      </c>
      <c r="K30">
        <v>0</v>
      </c>
      <c r="L30">
        <f>I30</f>
        <v>7377.285732995844</v>
      </c>
      <c r="M30">
        <f>(1+$B$2)^((A30-$B$3)/365)</f>
        <v>1.6631454009856539</v>
      </c>
      <c r="N30">
        <f>IF(A30&lt;=$B$4,L30/M30,0)</f>
        <v>4435.743097761469</v>
      </c>
      <c r="O30">
        <f>IF(A30&lt;=$B$5,L30/M30,0)</f>
        <v>0</v>
      </c>
      <c r="P30">
        <f>IF(A30&lt;=$B$6,L30/M30,0)</f>
        <v>4435.743097761469</v>
      </c>
    </row>
    <row r="31" spans="1:16">
      <c r="A31" s="1">
        <v>51866</v>
      </c>
      <c r="B31" s="1">
        <v>51682</v>
      </c>
      <c r="C31">
        <v>23</v>
      </c>
      <c r="D31">
        <v>7499.561187133899</v>
      </c>
      <c r="E31">
        <v>7499.561187133899</v>
      </c>
      <c r="F31">
        <v>7499.561187133899</v>
      </c>
      <c r="G31">
        <v>0</v>
      </c>
      <c r="H31">
        <v>0</v>
      </c>
      <c r="I31">
        <f>F31+G31-H31</f>
        <v>7499.561187133899</v>
      </c>
      <c r="J31">
        <f>I31-D31</f>
        <v>0.0</v>
      </c>
      <c r="K31">
        <v>0</v>
      </c>
      <c r="L31">
        <f>I31</f>
        <v>7499.561187133899</v>
      </c>
      <c r="M31">
        <f>(1+$B$2)^((A31-$B$3)/365)</f>
        <v>1.7086456571533302</v>
      </c>
      <c r="N31">
        <f>IF(A31&lt;=$B$4,L31/M31,0)</f>
        <v>4389.184589406594</v>
      </c>
      <c r="O31">
        <f>IF(A31&lt;=$B$5,L31/M31,0)</f>
        <v>0</v>
      </c>
      <c r="P31">
        <f>IF(A31&lt;=$B$6,L31/M31,0)</f>
        <v>4389.184589406594</v>
      </c>
    </row>
    <row r="32" spans="1:16">
      <c r="A32" s="1">
        <v>52047</v>
      </c>
      <c r="B32" s="1">
        <v>51866</v>
      </c>
      <c r="C32">
        <v>24</v>
      </c>
      <c r="D32">
        <v>7524.831447655766</v>
      </c>
      <c r="E32">
        <v>7524.831447655766</v>
      </c>
      <c r="F32">
        <v>7524.831447655766</v>
      </c>
      <c r="G32">
        <v>0</v>
      </c>
      <c r="H32">
        <v>0</v>
      </c>
      <c r="I32">
        <f>F32+G32-H32</f>
        <v>7524.831447655766</v>
      </c>
      <c r="J32">
        <f>I32-D32</f>
        <v>0.0</v>
      </c>
      <c r="K32">
        <v>0</v>
      </c>
      <c r="L32">
        <f>I32</f>
        <v>7524.831447655766</v>
      </c>
      <c r="M32">
        <f>(1+$B$2)^((A32-$B$3)/365)</f>
        <v>1.7546183980398649</v>
      </c>
      <c r="N32">
        <f>IF(A32&lt;=$B$4,L32/M32,0)</f>
        <v>4288.5857438073</v>
      </c>
      <c r="O32">
        <f>IF(A32&lt;=$B$5,L32/M32,0)</f>
        <v>0</v>
      </c>
      <c r="P32">
        <f>IF(A32&lt;=$B$6,L32/M32,0)</f>
        <v>4288.5857438073</v>
      </c>
    </row>
    <row r="33" spans="1:16">
      <c r="A33" s="1">
        <v>52231</v>
      </c>
      <c r="B33" s="1">
        <v>52047</v>
      </c>
      <c r="C33">
        <v>25</v>
      </c>
      <c r="D33">
        <v>7649.552410876579</v>
      </c>
      <c r="E33">
        <v>7649.552410876579</v>
      </c>
      <c r="F33">
        <v>7649.552410876579</v>
      </c>
      <c r="G33">
        <v>0</v>
      </c>
      <c r="H33">
        <v>0</v>
      </c>
      <c r="I33">
        <f>F33+G33-H33</f>
        <v>7649.5524108765785</v>
      </c>
      <c r="J33">
        <f>I33-D33</f>
        <v>0.0</v>
      </c>
      <c r="K33">
        <v>0</v>
      </c>
      <c r="L33">
        <f>I33</f>
        <v>7649.5524108765785</v>
      </c>
      <c r="M33">
        <f>(1+$B$2)^((A33-$B$3)/365)</f>
        <v>1.8026211682967632</v>
      </c>
      <c r="N33">
        <f>IF(A33&lt;=$B$4,L33/M33,0)</f>
        <v>4243.571830516329</v>
      </c>
      <c r="O33">
        <f>IF(A33&lt;=$B$5,L33/M33,0)</f>
        <v>0</v>
      </c>
      <c r="P33">
        <f>IF(A33&lt;=$B$6,L33/M33,0)</f>
        <v>4243.571830516329</v>
      </c>
    </row>
    <row r="34" spans="1:16">
      <c r="A34" s="1">
        <v>52412</v>
      </c>
      <c r="B34" s="1">
        <v>52231</v>
      </c>
      <c r="C34">
        <v>26</v>
      </c>
      <c r="D34">
        <v>7675.328076608879</v>
      </c>
      <c r="E34">
        <v>7675.328076608879</v>
      </c>
      <c r="F34">
        <v>7675.328076608879</v>
      </c>
      <c r="G34">
        <v>0</v>
      </c>
      <c r="H34">
        <v>0</v>
      </c>
      <c r="I34">
        <f>F34+G34-H34</f>
        <v>7675.328076608879</v>
      </c>
      <c r="J34">
        <f>I34-D34</f>
        <v>0.0</v>
      </c>
      <c r="K34">
        <v>0</v>
      </c>
      <c r="L34">
        <f>I34</f>
        <v>7675.328076608879</v>
      </c>
      <c r="M34">
        <f>(1+$B$2)^((A34-$B$3)/365)</f>
        <v>1.8511224099320573</v>
      </c>
      <c r="N34">
        <f>IF(A34&lt;=$B$4,L34/M34,0)</f>
        <v>4146.310387377673</v>
      </c>
      <c r="O34">
        <f>IF(A34&lt;=$B$5,L34/M34,0)</f>
        <v>0</v>
      </c>
      <c r="P34">
        <f>IF(A34&lt;=$B$6,L34/M34,0)</f>
        <v>4146.310387377673</v>
      </c>
    </row>
    <row r="35" spans="1:16">
      <c r="A35" s="1">
        <v>52596</v>
      </c>
      <c r="B35" s="1">
        <v>52412</v>
      </c>
      <c r="C35">
        <v>27</v>
      </c>
      <c r="D35">
        <v>7802.543459094108</v>
      </c>
      <c r="E35">
        <v>7802.543459094108</v>
      </c>
      <c r="F35">
        <v>7802.543459094108</v>
      </c>
      <c r="G35">
        <v>0</v>
      </c>
      <c r="H35">
        <v>0</v>
      </c>
      <c r="I35">
        <f>F35+G35-H35</f>
        <v>7802.543459094108</v>
      </c>
      <c r="J35">
        <f>I35-D35</f>
        <v>0.0</v>
      </c>
      <c r="K35">
        <v>0</v>
      </c>
      <c r="L35">
        <f>I35</f>
        <v>7802.543459094108</v>
      </c>
      <c r="M35">
        <f>(1+$B$2)^((A35-$B$3)/365)</f>
        <v>1.9017653325530852</v>
      </c>
      <c r="N35">
        <f>IF(A35&lt;=$B$4,L35/M35,0)</f>
        <v>4102.789826660335</v>
      </c>
      <c r="O35">
        <f>IF(A35&lt;=$B$5,L35/M35,0)</f>
        <v>0</v>
      </c>
      <c r="P35">
        <f>IF(A35&lt;=$B$6,L35/M35,0)</f>
        <v>4102.789826660335</v>
      </c>
    </row>
    <row r="36" spans="1:16">
      <c r="A36" s="1">
        <v>52778</v>
      </c>
      <c r="B36" s="1">
        <v>52596</v>
      </c>
      <c r="C36">
        <v>28</v>
      </c>
      <c r="D36">
        <v>7850.579431387709</v>
      </c>
      <c r="E36">
        <v>7850.579431387709</v>
      </c>
      <c r="F36">
        <v>7850.579431387709</v>
      </c>
      <c r="G36">
        <v>0</v>
      </c>
      <c r="H36">
        <v>0</v>
      </c>
      <c r="I36">
        <f>F36+G36-H36</f>
        <v>7850.579431387709</v>
      </c>
      <c r="J36">
        <f>I36-D36</f>
        <v>0.0</v>
      </c>
      <c r="L36">
        <f>I36</f>
        <v>7850.579431387709</v>
      </c>
      <c r="M36">
        <f>(1+$B$2)^((A36-$B$3)/365)</f>
        <v>1.953220633604452</v>
      </c>
      <c r="N36">
        <f>IF(A36&lt;=$B$4,L36/M36,0)</f>
        <v>0</v>
      </c>
      <c r="O36">
        <f>IF(A36&lt;=$B$5,L36/M36,0)</f>
        <v>0</v>
      </c>
      <c r="P36">
        <f>IF(A36&lt;=$B$6,L36/M36,0)</f>
        <v>4019.299866242113</v>
      </c>
    </row>
    <row r="37" spans="1:16">
      <c r="A37" s="1">
        <v>52962</v>
      </c>
      <c r="B37" s="1">
        <v>52778</v>
      </c>
      <c r="C37">
        <v>29</v>
      </c>
      <c r="D37">
        <v>7936.849535029334</v>
      </c>
      <c r="E37">
        <v>7936.849535029334</v>
      </c>
      <c r="F37">
        <v>7936.849535029334</v>
      </c>
      <c r="G37">
        <v>0</v>
      </c>
      <c r="H37">
        <v>0</v>
      </c>
      <c r="I37">
        <f>F37+G37-H37</f>
        <v>7936.849535029334</v>
      </c>
      <c r="J37">
        <f>I37-D37</f>
        <v>0.0</v>
      </c>
      <c r="L37">
        <f>I37</f>
        <v>7936.849535029334</v>
      </c>
      <c r="M37">
        <f>(1+$B$2)^((A37-$B$3)/365)</f>
        <v>2.0066567547808227</v>
      </c>
      <c r="N37">
        <f>IF(A37&lt;=$B$4,L37/M37,0)</f>
        <v>0</v>
      </c>
      <c r="O37">
        <f>IF(A37&lt;=$B$5,L37/M37,0)</f>
        <v>0</v>
      </c>
      <c r="P37">
        <f>IF(A37&lt;=$B$6,L37/M37,0)</f>
        <v>3955.2601689949897</v>
      </c>
    </row>
    <row r="38" spans="1:16">
      <c r="A38" s="1">
        <v>53143</v>
      </c>
      <c r="B38" s="1">
        <v>52962</v>
      </c>
      <c r="C38">
        <v>30</v>
      </c>
      <c r="D38">
        <v>7985.411330903877</v>
      </c>
      <c r="E38">
        <v>7985.411330903877</v>
      </c>
      <c r="F38">
        <v>7985.411330903877</v>
      </c>
      <c r="G38">
        <v>0</v>
      </c>
      <c r="H38">
        <v>0</v>
      </c>
      <c r="I38">
        <f>F38+G38-H38</f>
        <v>7985.411330903877</v>
      </c>
      <c r="J38">
        <f>I38-D38</f>
        <v>0.0</v>
      </c>
      <c r="L38">
        <f>I38</f>
        <v>7985.411330903877</v>
      </c>
      <c r="M38">
        <f>(1+$B$2)^((A38-$B$3)/365)</f>
        <v>2.060647768452697</v>
      </c>
      <c r="N38">
        <f>IF(A38&lt;=$B$4,L38/M38,0)</f>
        <v>0</v>
      </c>
      <c r="O38">
        <f>IF(A38&lt;=$B$5,L38/M38,0)</f>
        <v>0</v>
      </c>
      <c r="P38">
        <f>IF(A38&lt;=$B$6,L38/M38,0)</f>
        <v>3875.194709719836</v>
      </c>
    </row>
    <row r="39" spans="1:16">
      <c r="A39" s="1">
        <v>53327</v>
      </c>
      <c r="B39" s="1">
        <v>53143</v>
      </c>
      <c r="C39">
        <v>31</v>
      </c>
      <c r="D39">
        <v>8117.766214841513</v>
      </c>
      <c r="E39">
        <v>8117.766214841513</v>
      </c>
      <c r="F39">
        <v>8117.766214841513</v>
      </c>
      <c r="G39">
        <v>0</v>
      </c>
      <c r="H39">
        <v>0</v>
      </c>
      <c r="I39">
        <f>F39+G39-H39</f>
        <v>8117.766214841513</v>
      </c>
      <c r="J39">
        <f>I39-D39</f>
        <v>0.0</v>
      </c>
      <c r="L39">
        <f>I39</f>
        <v>8117.766214841513</v>
      </c>
      <c r="M39">
        <f>(1+$B$2)^((A39-$B$3)/365)</f>
        <v>2.1170228762937677</v>
      </c>
      <c r="N39">
        <f>IF(A39&lt;=$B$4,L39/M39,0)</f>
        <v>0</v>
      </c>
      <c r="O39">
        <f>IF(A39&lt;=$B$5,L39/M39,0)</f>
        <v>0</v>
      </c>
      <c r="P39">
        <f>IF(A39&lt;=$B$6,L39/M39,0)</f>
        <v>3834.5198371465567</v>
      </c>
    </row>
    <row r="40" spans="1:16">
      <c r="A40" s="1">
        <v>53508</v>
      </c>
      <c r="B40" s="1">
        <v>53327</v>
      </c>
      <c r="C40">
        <v>32</v>
      </c>
      <c r="D40">
        <v>8145.119557521959</v>
      </c>
      <c r="E40">
        <v>8145.119557521959</v>
      </c>
      <c r="F40">
        <v>8145.119557521959</v>
      </c>
      <c r="G40">
        <v>0</v>
      </c>
      <c r="H40">
        <v>0</v>
      </c>
      <c r="I40">
        <f>F40+G40-H40</f>
        <v>8145.119557521959</v>
      </c>
      <c r="J40">
        <f>I40-D40</f>
        <v>0.0</v>
      </c>
      <c r="L40">
        <f>I40</f>
        <v>8145.119557521959</v>
      </c>
      <c r="M40">
        <f>(1+$B$2)^((A40-$B$3)/365)</f>
        <v>2.173983395717595</v>
      </c>
      <c r="N40">
        <f>IF(A40&lt;=$B$4,L40/M40,0)</f>
        <v>0</v>
      </c>
      <c r="O40">
        <f>IF(A40&lt;=$B$5,L40/M40,0)</f>
        <v>0</v>
      </c>
      <c r="P40">
        <f>IF(A40&lt;=$B$6,L40/M40,0)</f>
        <v>3746.633747786005</v>
      </c>
    </row>
    <row r="41" spans="1:16">
      <c r="A41" s="1">
        <v>53692</v>
      </c>
      <c r="B41" s="1">
        <v>53508</v>
      </c>
      <c r="C41">
        <v>33</v>
      </c>
      <c r="D41">
        <v>8083.526900962001</v>
      </c>
      <c r="E41">
        <v>8083.526900962001</v>
      </c>
      <c r="F41">
        <v>8280.121539138341</v>
      </c>
      <c r="G41">
        <v>0</v>
      </c>
      <c r="H41">
        <v>196.5946381763408</v>
      </c>
      <c r="I41">
        <f>F41+G41-H41</f>
        <v>8083.526900962001</v>
      </c>
      <c r="J41">
        <f>I41-D41</f>
        <v>0.0</v>
      </c>
      <c r="L41">
        <f>I41</f>
        <v>8083.526900962001</v>
      </c>
      <c r="M41">
        <f>(1+$B$2)^((A41-$B$3)/365)</f>
        <v>2.233459134489925</v>
      </c>
      <c r="N41">
        <f>IF(A41&lt;=$B$4,L41/M41,0)</f>
        <v>0</v>
      </c>
      <c r="O41">
        <f>IF(A41&lt;=$B$5,L41/M41,0)</f>
        <v>0</v>
      </c>
      <c r="P41">
        <f>IF(A41&lt;=$B$6,L41/M41,0)</f>
        <v>3619.285786846558</v>
      </c>
    </row>
    <row r="42" spans="1:16">
      <c r="A42" s="1">
        <v>53873</v>
      </c>
      <c r="B42" s="1">
        <v>53692</v>
      </c>
      <c r="C42">
        <v>34</v>
      </c>
      <c r="D42">
        <v>8308.021948672393</v>
      </c>
      <c r="E42">
        <v>8308.021948672393</v>
      </c>
      <c r="F42">
        <v>8308.021948672393</v>
      </c>
      <c r="G42">
        <v>0</v>
      </c>
      <c r="H42">
        <v>0</v>
      </c>
      <c r="I42">
        <f>F42+G42-H42</f>
        <v>8308.021948672393</v>
      </c>
      <c r="J42">
        <f>I42-D42</f>
        <v>0.0</v>
      </c>
      <c r="L42">
        <f>I42</f>
        <v>8308.021948672393</v>
      </c>
      <c r="M42">
        <f>(1+$B$2)^((A42-$B$3)/365)</f>
        <v>2.2935524824820623</v>
      </c>
      <c r="N42">
        <f>IF(A42&lt;=$B$4,L42/M42,0)</f>
        <v>0</v>
      </c>
      <c r="O42">
        <f>IF(A42&lt;=$B$5,L42/M42,0)</f>
        <v>0</v>
      </c>
      <c r="P42">
        <f>IF(A42&lt;=$B$6,L42/M42,0)</f>
        <v>3622.3378414613494</v>
      </c>
    </row>
    <row r="43" spans="1:16">
      <c r="A43" s="1">
        <v>54057</v>
      </c>
      <c r="B43" s="1">
        <v>53873</v>
      </c>
      <c r="C43">
        <v>35</v>
      </c>
      <c r="D43">
        <v>6016.346998842168</v>
      </c>
      <c r="E43">
        <v>6016.346998842168</v>
      </c>
      <c r="F43">
        <v>8445.723969921106</v>
      </c>
      <c r="G43">
        <v>0</v>
      </c>
      <c r="H43">
        <v>2429.376971078938</v>
      </c>
      <c r="I43">
        <f>F43+G43-H43</f>
        <v>6016.3469988421675</v>
      </c>
      <c r="J43">
        <f>I43-D43</f>
        <v>0.0</v>
      </c>
      <c r="L43">
        <f>I43</f>
        <v>6016.3469988421675</v>
      </c>
      <c r="M43">
        <f>(1+$B$2)^((A43-$B$3)/365)</f>
        <v>2.356299386886871</v>
      </c>
      <c r="N43">
        <f>IF(A43&lt;=$B$4,L43/M43,0)</f>
        <v>0</v>
      </c>
      <c r="O43">
        <f>IF(A43&lt;=$B$5,L43/M43,0)</f>
        <v>0</v>
      </c>
      <c r="P43">
        <f>IF(A43&lt;=$B$6,L43/M43,0)</f>
        <v>2553.303299370175</v>
      </c>
    </row>
    <row r="44" spans="1:16">
      <c r="A44" s="1">
        <v>54239</v>
      </c>
      <c r="B44" s="1">
        <v>54057</v>
      </c>
      <c r="C44">
        <v>36</v>
      </c>
      <c r="D44">
        <v>8497.719651168572</v>
      </c>
      <c r="E44">
        <v>8497.719651168572</v>
      </c>
      <c r="F44">
        <v>8497.719651168572</v>
      </c>
      <c r="G44">
        <v>0</v>
      </c>
      <c r="H44">
        <v>0</v>
      </c>
      <c r="I44">
        <f>F44+G44-H44</f>
        <v>8497.719651168572</v>
      </c>
      <c r="J44">
        <f>I44-D44</f>
        <v>0.0</v>
      </c>
      <c r="L44">
        <f>I44</f>
        <v>8497.719651168572</v>
      </c>
      <c r="M44">
        <f>(1+$B$2)^((A44-$B$3)/365)</f>
        <v>2.420052833352659</v>
      </c>
      <c r="N44">
        <f>IF(A44&lt;=$B$4,L44/M44,0)</f>
        <v>0</v>
      </c>
      <c r="O44">
        <f>IF(A44&lt;=$B$5,L44/M44,0)</f>
        <v>0</v>
      </c>
      <c r="P44">
        <f>IF(A44&lt;=$B$6,L44/M44,0)</f>
        <v>3511.3777410372154</v>
      </c>
    </row>
    <row r="45" spans="1:16">
      <c r="A45" s="1">
        <v>54423</v>
      </c>
      <c r="B45" s="1">
        <v>54239</v>
      </c>
      <c r="C45">
        <v>37</v>
      </c>
      <c r="D45">
        <v>5866.370274749053</v>
      </c>
      <c r="E45">
        <v>5866.370274749053</v>
      </c>
      <c r="F45">
        <v>8591.101185796797</v>
      </c>
      <c r="G45">
        <v>0</v>
      </c>
      <c r="H45">
        <v>2724.730911047744</v>
      </c>
      <c r="I45">
        <f>F45+G45-H45</f>
        <v>5866.370274749053</v>
      </c>
      <c r="J45">
        <f>I45-D45</f>
        <v>0.0</v>
      </c>
      <c r="L45">
        <f>I45</f>
        <v>5866.370274749053</v>
      </c>
      <c r="M45">
        <f>(1+$B$2)^((A45-$B$3)/365)</f>
        <v>2.4862605285978243</v>
      </c>
      <c r="N45">
        <f>IF(A45&lt;=$B$4,L45/M45,0)</f>
        <v>0</v>
      </c>
      <c r="O45">
        <f>IF(A45&lt;=$B$5,L45/M45,0)</f>
        <v>0</v>
      </c>
      <c r="P45">
        <f>IF(A45&lt;=$B$6,L45/M45,0)</f>
        <v>2359.5155082389974</v>
      </c>
    </row>
    <row r="46" spans="1:16">
      <c r="A46" s="1">
        <v>54604</v>
      </c>
      <c r="B46" s="1">
        <v>54423</v>
      </c>
      <c r="C46">
        <v>38</v>
      </c>
      <c r="D46">
        <v>8643.666035398759</v>
      </c>
      <c r="E46">
        <v>8643.666035398759</v>
      </c>
      <c r="F46">
        <v>8643.666035398759</v>
      </c>
      <c r="G46">
        <v>0</v>
      </c>
      <c r="H46">
        <v>0</v>
      </c>
      <c r="I46">
        <f>F46+G46-H46</f>
        <v>8643.666035398759</v>
      </c>
      <c r="J46">
        <f>I46-D46</f>
        <v>0.0</v>
      </c>
      <c r="L46">
        <f>I46</f>
        <v>8643.666035398759</v>
      </c>
      <c r="M46">
        <f>(1+$B$2)^((A46-$B$3)/365)</f>
        <v>2.553155739187055</v>
      </c>
      <c r="N46">
        <f>IF(A46&lt;=$B$4,L46/M46,0)</f>
        <v>0</v>
      </c>
      <c r="O46">
        <f>IF(A46&lt;=$B$5,L46/M46,0)</f>
        <v>0</v>
      </c>
      <c r="P46">
        <f>IF(A46&lt;=$B$6,L46/M46,0)</f>
        <v>3385.4832679149335</v>
      </c>
    </row>
    <row r="47" spans="1:16">
      <c r="A47" s="1">
        <v>54788</v>
      </c>
      <c r="B47" s="1">
        <v>54604</v>
      </c>
      <c r="C47">
        <v>39</v>
      </c>
      <c r="D47">
        <v>5747.130859015251</v>
      </c>
      <c r="E47">
        <v>5747.130859015251</v>
      </c>
      <c r="F47">
        <v>8786.931218305923</v>
      </c>
      <c r="G47">
        <v>0</v>
      </c>
      <c r="H47">
        <v>3039.800359290671</v>
      </c>
      <c r="I47">
        <f>F47+G47-H47</f>
        <v>5747.130859015251</v>
      </c>
      <c r="J47">
        <f>I47-D47</f>
        <v>0.0</v>
      </c>
      <c r="L47">
        <f>I47</f>
        <v>5747.130859015251</v>
      </c>
      <c r="M47">
        <f>(1+$B$2)^((A47-$B$3)/365)</f>
        <v>2.6230048576707046</v>
      </c>
      <c r="N47">
        <f>IF(A47&lt;=$B$4,L47/M47,0)</f>
        <v>0</v>
      </c>
      <c r="O47">
        <f>IF(A47&lt;=$B$5,L47/M47,0)</f>
        <v>0</v>
      </c>
      <c r="P47">
        <f>IF(A47&lt;=$B$6,L47/M47,0)</f>
        <v>2191.048500046946</v>
      </c>
    </row>
    <row r="48" spans="1:16">
      <c r="A48" s="1">
        <v>54969</v>
      </c>
      <c r="B48" s="1">
        <v>54788</v>
      </c>
      <c r="C48">
        <v>40</v>
      </c>
      <c r="D48">
        <v>8816.539356106729</v>
      </c>
      <c r="E48">
        <v>8816.539356106729</v>
      </c>
      <c r="F48">
        <v>8816.539356106729</v>
      </c>
      <c r="G48">
        <v>0</v>
      </c>
      <c r="H48">
        <v>0</v>
      </c>
      <c r="I48">
        <f>F48+G48-H48</f>
        <v>8816.539356106729</v>
      </c>
      <c r="J48">
        <f>I48-D48</f>
        <v>0.0</v>
      </c>
      <c r="L48">
        <f>I48</f>
        <v>8816.539356106729</v>
      </c>
      <c r="M48">
        <f>(1+$B$2)^((A48-$B$3)/365)</f>
        <v>2.693579304842343</v>
      </c>
      <c r="N48">
        <f>IF(A48&lt;=$B$4,L48/M48,0)</f>
        <v>0</v>
      </c>
      <c r="O48">
        <f>IF(A48&lt;=$B$5,L48/M48,0)</f>
        <v>0</v>
      </c>
      <c r="P48">
        <f>IF(A48&lt;=$B$6,L48/M48,0)</f>
        <v>3273.168657131024</v>
      </c>
    </row>
    <row r="49" spans="1:16">
      <c r="A49" s="1">
        <v>55153</v>
      </c>
      <c r="B49" s="1">
        <v>54969</v>
      </c>
      <c r="C49">
        <v>41</v>
      </c>
      <c r="D49">
        <v>5586.751742545366</v>
      </c>
      <c r="E49">
        <v>5586.751742545366</v>
      </c>
      <c r="F49">
        <v>8962.669842672036</v>
      </c>
      <c r="G49">
        <v>0</v>
      </c>
      <c r="H49">
        <v>3375.91810012667</v>
      </c>
      <c r="I49">
        <f>F49+G49-H49</f>
        <v>5586.751742545366</v>
      </c>
      <c r="J49">
        <f>I49-D49</f>
        <v>0.0</v>
      </c>
      <c r="L49">
        <f>I49</f>
        <v>5586.751742545366</v>
      </c>
      <c r="M49">
        <f>(1+$B$2)^((A49-$B$3)/365)</f>
        <v>2.7672701248425935</v>
      </c>
      <c r="N49">
        <f>IF(A49&lt;=$B$4,L49/M49,0)</f>
        <v>0</v>
      </c>
      <c r="O49">
        <f>IF(A49&lt;=$B$5,L49/M49,0)</f>
        <v>0</v>
      </c>
      <c r="P49">
        <f>IF(A49&lt;=$B$6,L49/M49,0)</f>
        <v>2018.867508593202</v>
      </c>
    </row>
    <row r="50" spans="1:16">
      <c r="A50" s="1">
        <v>55334</v>
      </c>
      <c r="B50" s="1">
        <v>55153</v>
      </c>
      <c r="C50">
        <v>42</v>
      </c>
      <c r="D50">
        <v>8992.870143228873</v>
      </c>
      <c r="E50">
        <v>8992.870143228873</v>
      </c>
      <c r="F50">
        <v>8992.870143228873</v>
      </c>
      <c r="G50">
        <v>0</v>
      </c>
      <c r="H50">
        <v>0</v>
      </c>
      <c r="I50">
        <f>F50+G50-H50</f>
        <v>8992.870143228873</v>
      </c>
      <c r="J50">
        <f>I50-D50</f>
        <v>0.0</v>
      </c>
      <c r="L50">
        <f>I50</f>
        <v>8992.870143228873</v>
      </c>
      <c r="M50">
        <f>(1+$B$2)^((A50-$B$3)/365)</f>
        <v>2.8417261666086717</v>
      </c>
      <c r="N50">
        <f>IF(A50&lt;=$B$4,L50/M50,0)</f>
        <v>0</v>
      </c>
      <c r="O50">
        <f>IF(A50&lt;=$B$5,L50/M50,0)</f>
        <v>0</v>
      </c>
      <c r="P50">
        <f>IF(A50&lt;=$B$6,L50/M50,0)</f>
        <v>3164.5801234821306</v>
      </c>
    </row>
    <row r="51" spans="1:16">
      <c r="A51" s="1">
        <v>55518</v>
      </c>
      <c r="B51" s="1">
        <v>55334</v>
      </c>
      <c r="C51">
        <v>43</v>
      </c>
      <c r="D51">
        <v>5436.766766732922</v>
      </c>
      <c r="E51">
        <v>5436.766766732922</v>
      </c>
      <c r="F51">
        <v>9141.923239525484</v>
      </c>
      <c r="G51">
        <v>0</v>
      </c>
      <c r="H51">
        <v>3705.156472792562</v>
      </c>
      <c r="I51">
        <f>F51+G51-H51</f>
        <v>5436.766766732922</v>
      </c>
      <c r="J51">
        <f>I51-D51</f>
        <v>0.0</v>
      </c>
      <c r="L51">
        <f>I51</f>
        <v>5436.766766732922</v>
      </c>
      <c r="M51">
        <f>(1+$B$2)^((A51-$B$3)/365)</f>
        <v>2.919469981708936</v>
      </c>
      <c r="N51">
        <f>IF(A51&lt;=$B$4,L51/M51,0)</f>
        <v>0</v>
      </c>
      <c r="O51">
        <f>IF(A51&lt;=$B$5,L51/M51,0)</f>
        <v>0</v>
      </c>
      <c r="P51">
        <f>IF(A51&lt;=$B$6,L51/M51,0)</f>
        <v>1862.2444487510936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15">
      <c r="A1" t="s">
        <v>41</v>
      </c>
      <c r="B1">
        <v>0.08</v>
      </c>
      <c r="C1" t="s">
        <v>42</v>
      </c>
      <c r="D1">
        <v>0.12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</row>
    <row r="4" spans="1:15">
      <c r="A4" s="1">
        <v>47664</v>
      </c>
      <c r="B4">
        <v>79250</v>
      </c>
      <c r="C4">
        <v>0</v>
      </c>
      <c r="D4">
        <v>0</v>
      </c>
      <c r="E4">
        <v>0</v>
      </c>
      <c r="F4">
        <f>-B4+C4-D4+E4</f>
        <v>-79250.0</v>
      </c>
      <c r="G4">
        <f>F4/((1+$B$1)^((A4-$A$4)/365))</f>
        <v>-79250.0</v>
      </c>
      <c r="H4" s="1">
        <v>47484</v>
      </c>
      <c r="I4">
        <v>80142.47082042632</v>
      </c>
      <c r="J4">
        <v>0</v>
      </c>
      <c r="K4">
        <v>0</v>
      </c>
      <c r="L4">
        <v>0</v>
      </c>
      <c r="M4">
        <v>0</v>
      </c>
      <c r="N4">
        <f>-I4-J4+K4+L4+M4</f>
        <v>-80142.47082042632</v>
      </c>
      <c r="O4">
        <f>N4/((1+$D$1)^((H4-$H$4)/365))</f>
        <v>-80142.47082042632</v>
      </c>
    </row>
    <row r="5" spans="1:15">
      <c r="A5" s="1">
        <v>47848</v>
      </c>
      <c r="B5">
        <v>61250</v>
      </c>
      <c r="C5">
        <v>0</v>
      </c>
      <c r="D5">
        <v>0</v>
      </c>
      <c r="E5">
        <v>0</v>
      </c>
      <c r="F5">
        <f>-B5+C5-D5+E5</f>
        <v>-61250.0</v>
      </c>
      <c r="G5">
        <f>F5/((1+$B$1)^((A5-$A$4)/365))</f>
        <v>-58919.20217033563</v>
      </c>
      <c r="H5" s="1">
        <v>47665</v>
      </c>
      <c r="I5">
        <v>9857.529179573685</v>
      </c>
      <c r="J5">
        <v>51705.94298205955</v>
      </c>
      <c r="K5">
        <v>0</v>
      </c>
      <c r="L5">
        <v>0</v>
      </c>
      <c r="M5">
        <v>0</v>
      </c>
      <c r="N5">
        <f>-I5-J5+K5+L5+M5</f>
        <v>-61563.47216163324</v>
      </c>
      <c r="O5">
        <f>N5/((1+$D$1)^((H5-$H$4)/365))</f>
        <v>-58199.11229368847</v>
      </c>
    </row>
    <row r="6" spans="1:15">
      <c r="A6" s="1">
        <v>48029</v>
      </c>
      <c r="B6">
        <v>40500</v>
      </c>
      <c r="C6">
        <v>0</v>
      </c>
      <c r="D6">
        <v>0</v>
      </c>
      <c r="E6">
        <v>0</v>
      </c>
      <c r="F6">
        <f>-B6+C6-D6+E6</f>
        <v>-40500.0</v>
      </c>
      <c r="G6">
        <f>F6/((1+$B$1)^((A6-$A$4)/365))</f>
        <v>-37500.0</v>
      </c>
      <c r="H6" s="1">
        <v>47849</v>
      </c>
      <c r="I6">
        <v>0</v>
      </c>
      <c r="J6">
        <v>8083.685919941025</v>
      </c>
      <c r="K6">
        <v>0</v>
      </c>
      <c r="L6">
        <v>0</v>
      </c>
      <c r="M6">
        <v>0</v>
      </c>
      <c r="N6">
        <f>-I6-J6+K6+L6+M6</f>
        <v>-8083.685919941025</v>
      </c>
      <c r="O6">
        <f>N6/((1+$D$1)^((H6-$H$4)/365))</f>
        <v>-7217.576714233058</v>
      </c>
    </row>
    <row r="7" spans="1:15">
      <c r="A7" s="1">
        <v>48213</v>
      </c>
      <c r="B7">
        <v>19000</v>
      </c>
      <c r="C7">
        <v>0</v>
      </c>
      <c r="D7">
        <v>0</v>
      </c>
      <c r="E7">
        <v>0</v>
      </c>
      <c r="F7">
        <f>-B7+C7-D7+E7</f>
        <v>-19000.0</v>
      </c>
      <c r="G7">
        <f>F7/((1+$B$1)^((A7-$A$4)/365))</f>
        <v>-16923.12685164591</v>
      </c>
      <c r="H7" s="1">
        <v>48030</v>
      </c>
      <c r="I7">
        <v>0</v>
      </c>
      <c r="J7">
        <v>0</v>
      </c>
      <c r="K7">
        <v>0</v>
      </c>
      <c r="L7">
        <v>0</v>
      </c>
      <c r="M7">
        <v>0</v>
      </c>
      <c r="N7">
        <f>-I7-J7+K7+L7+M7</f>
        <v>0.0</v>
      </c>
      <c r="O7">
        <f>N7/((1+$D$1)^((H7-$H$4)/365))</f>
        <v>0.0</v>
      </c>
    </row>
    <row r="8" spans="1:15">
      <c r="A8" s="1">
        <v>48395</v>
      </c>
      <c r="B8">
        <v>0</v>
      </c>
      <c r="C8">
        <v>2302.966338797814</v>
      </c>
      <c r="D8">
        <v>0</v>
      </c>
      <c r="E8">
        <v>0</v>
      </c>
      <c r="F8">
        <f>-B8+C8-D8+E8</f>
        <v>2302.9663387978144</v>
      </c>
      <c r="G8">
        <f>F8/((1+$B$1)^((A8-$A$4)/365))</f>
        <v>1974.0061767347238</v>
      </c>
      <c r="H8" s="1">
        <v>48395</v>
      </c>
      <c r="I8">
        <v>0</v>
      </c>
      <c r="J8">
        <v>0</v>
      </c>
      <c r="K8">
        <v>0</v>
      </c>
      <c r="L8">
        <v>531.4537704918034</v>
      </c>
      <c r="M8">
        <v>0</v>
      </c>
      <c r="N8">
        <f>-I8-J8+K8+L8+M8</f>
        <v>531.4537704918034</v>
      </c>
      <c r="O8">
        <f>N8/((1+$D$1)^((H8-$H$4)/365))</f>
        <v>400.51861135786237</v>
      </c>
    </row>
    <row r="9" spans="1:15">
      <c r="A9" s="1">
        <v>48579</v>
      </c>
      <c r="B9">
        <v>0</v>
      </c>
      <c r="C9">
        <v>2328.273661202185</v>
      </c>
      <c r="D9">
        <v>0</v>
      </c>
      <c r="E9">
        <v>0</v>
      </c>
      <c r="F9">
        <f>-B9+C9-D9+E9</f>
        <v>2328.2736612021854</v>
      </c>
      <c r="G9">
        <f>F9/((1+$B$1)^((A9-$A$4)/365))</f>
        <v>1919.754554680825</v>
      </c>
      <c r="H9" s="1">
        <v>48579</v>
      </c>
      <c r="I9">
        <v>0</v>
      </c>
      <c r="J9">
        <v>0</v>
      </c>
      <c r="K9">
        <v>0</v>
      </c>
      <c r="L9">
        <v>537.293921815889</v>
      </c>
      <c r="M9">
        <v>0</v>
      </c>
      <c r="N9">
        <f>-I9-J9+K9+L9+M9</f>
        <v>537.293921815889</v>
      </c>
      <c r="O9">
        <f>N9/((1+$D$1)^((H9-$H$4)/365))</f>
        <v>382.435200818753</v>
      </c>
    </row>
    <row r="10" spans="1:15">
      <c r="A10" s="1">
        <v>48760</v>
      </c>
      <c r="B10">
        <v>0</v>
      </c>
      <c r="C10">
        <v>4319.480797808219</v>
      </c>
      <c r="D10">
        <v>0</v>
      </c>
      <c r="E10">
        <v>0</v>
      </c>
      <c r="F10">
        <f>-B10+C10-D10+E10</f>
        <v>4319.480797808219</v>
      </c>
      <c r="G10">
        <f>F10/((1+$B$1)^((A10-$A$4)/365))</f>
        <v>3428.220197895954</v>
      </c>
      <c r="H10" s="1">
        <v>48760</v>
      </c>
      <c r="I10">
        <v>0</v>
      </c>
      <c r="J10">
        <v>0</v>
      </c>
      <c r="K10">
        <v>0</v>
      </c>
      <c r="L10">
        <v>996.8032610326659</v>
      </c>
      <c r="M10">
        <v>0</v>
      </c>
      <c r="N10">
        <f>-I10-J10+K10+L10+M10</f>
        <v>996.8032610326659</v>
      </c>
      <c r="O10">
        <f>N10/((1+$D$1)^((H10-$H$4)/365))</f>
        <v>670.731397658842</v>
      </c>
    </row>
    <row r="11" spans="1:15">
      <c r="A11" s="1">
        <v>48944</v>
      </c>
      <c r="B11">
        <v>0</v>
      </c>
      <c r="C11">
        <v>4391.07440219178</v>
      </c>
      <c r="D11">
        <v>0</v>
      </c>
      <c r="E11">
        <v>0</v>
      </c>
      <c r="F11">
        <f>-B11+C11-D11+E11</f>
        <v>4391.07440219178</v>
      </c>
      <c r="G11">
        <f>F11/((1+$B$1)^((A11-$A$4)/365))</f>
        <v>3352.422307097872</v>
      </c>
      <c r="H11" s="1">
        <v>48944</v>
      </c>
      <c r="I11">
        <v>0</v>
      </c>
      <c r="J11">
        <v>0</v>
      </c>
      <c r="K11">
        <v>0</v>
      </c>
      <c r="L11">
        <v>1013.324862044257</v>
      </c>
      <c r="M11">
        <v>0</v>
      </c>
      <c r="N11">
        <f>-I11-J11+K11+L11+M11</f>
        <v>1013.3248620442569</v>
      </c>
      <c r="O11">
        <f>N11/((1+$D$1)^((H11-$H$4)/365))</f>
        <v>643.9862691262069</v>
      </c>
    </row>
    <row r="12" spans="1:15">
      <c r="A12" s="1">
        <v>49125</v>
      </c>
      <c r="B12">
        <v>0</v>
      </c>
      <c r="C12">
        <v>6422.371185402741</v>
      </c>
      <c r="D12">
        <v>0</v>
      </c>
      <c r="E12">
        <v>0</v>
      </c>
      <c r="F12">
        <f>-B12+C12-D12+E12</f>
        <v>6422.371185402741</v>
      </c>
      <c r="G12">
        <f>F12/((1+$B$1)^((A12-$A$4)/365))</f>
        <v>4719.639295913678</v>
      </c>
      <c r="H12" s="1">
        <v>49125</v>
      </c>
      <c r="I12">
        <v>0</v>
      </c>
      <c r="J12">
        <v>0</v>
      </c>
      <c r="K12">
        <v>0</v>
      </c>
      <c r="L12">
        <v>1482.085658169864</v>
      </c>
      <c r="M12">
        <v>0</v>
      </c>
      <c r="N12">
        <f>-I12-J12+K12+L12+M12</f>
        <v>1482.0856581698636</v>
      </c>
      <c r="O12">
        <f>N12/((1+$D$1)^((H12-$H$4)/365))</f>
        <v>890.4191025803319</v>
      </c>
    </row>
    <row r="13" spans="1:15">
      <c r="A13" s="1">
        <v>49309</v>
      </c>
      <c r="B13">
        <v>0</v>
      </c>
      <c r="C13">
        <v>6528.81932659726</v>
      </c>
      <c r="D13">
        <v>0</v>
      </c>
      <c r="E13">
        <v>0</v>
      </c>
      <c r="F13">
        <f>-B13+C13-D13+E13</f>
        <v>6528.81932659726</v>
      </c>
      <c r="G13">
        <f>F13/((1+$B$1)^((A13-$A$4)/365))</f>
        <v>4615.288150623314</v>
      </c>
      <c r="H13" s="1">
        <v>49309</v>
      </c>
      <c r="I13">
        <v>0</v>
      </c>
      <c r="J13">
        <v>0</v>
      </c>
      <c r="K13">
        <v>0</v>
      </c>
      <c r="L13">
        <v>1506.650613830137</v>
      </c>
      <c r="M13">
        <v>0</v>
      </c>
      <c r="N13">
        <f>-I13-J13+K13+L13+M13</f>
        <v>1506.6506138301374</v>
      </c>
      <c r="O13">
        <f>N13/((1+$D$1)^((H13-$H$4)/365))</f>
        <v>854.9140204721326</v>
      </c>
    </row>
    <row r="14" spans="1:15">
      <c r="A14" s="1">
        <v>49490</v>
      </c>
      <c r="B14">
        <v>0</v>
      </c>
      <c r="C14">
        <v>6550.818609110796</v>
      </c>
      <c r="D14">
        <v>0</v>
      </c>
      <c r="E14">
        <v>0</v>
      </c>
      <c r="F14">
        <f>-B14+C14-D14+E14</f>
        <v>6550.818609110796</v>
      </c>
      <c r="G14">
        <f>F14/((1+$B$1)^((A14-$A$4)/365))</f>
        <v>4457.4371128073635</v>
      </c>
      <c r="H14" s="1">
        <v>49490</v>
      </c>
      <c r="I14">
        <v>0</v>
      </c>
      <c r="J14">
        <v>0</v>
      </c>
      <c r="K14">
        <v>0</v>
      </c>
      <c r="L14">
        <v>1511.727371333261</v>
      </c>
      <c r="M14">
        <v>0</v>
      </c>
      <c r="N14">
        <f>-I14-J14+K14+L14+M14</f>
        <v>1511.7273713332606</v>
      </c>
      <c r="O14">
        <f>N14/((1+$D$1)^((H14-$H$4)/365))</f>
        <v>810.9173969928022</v>
      </c>
    </row>
    <row r="15" spans="1:15">
      <c r="A15" s="1">
        <v>49674</v>
      </c>
      <c r="B15">
        <v>0</v>
      </c>
      <c r="C15">
        <v>6659.395713129206</v>
      </c>
      <c r="D15">
        <v>0</v>
      </c>
      <c r="E15">
        <v>0</v>
      </c>
      <c r="F15">
        <f>-B15+C15-D15+E15</f>
        <v>6659.395713129206</v>
      </c>
      <c r="G15">
        <f>F15/((1+$B$1)^((A15-$A$4)/365))</f>
        <v>4358.883253366464</v>
      </c>
      <c r="H15" s="1">
        <v>49674</v>
      </c>
      <c r="I15">
        <v>0</v>
      </c>
      <c r="J15">
        <v>0</v>
      </c>
      <c r="K15">
        <v>0</v>
      </c>
      <c r="L15">
        <v>1536.78362610674</v>
      </c>
      <c r="M15">
        <v>0</v>
      </c>
      <c r="N15">
        <f>-I15-J15+K15+L15+M15</f>
        <v>1536.7836261067405</v>
      </c>
      <c r="O15">
        <f>N15/((1+$D$1)^((H15-$H$4)/365))</f>
        <v>778.5824115014067</v>
      </c>
    </row>
    <row r="16" spans="1:15">
      <c r="A16" s="1">
        <v>49856</v>
      </c>
      <c r="B16">
        <v>0</v>
      </c>
      <c r="C16">
        <v>6700.393952952551</v>
      </c>
      <c r="D16">
        <v>0</v>
      </c>
      <c r="E16">
        <v>0</v>
      </c>
      <c r="F16">
        <f>-B16+C16-D16+E16</f>
        <v>6700.3939529525505</v>
      </c>
      <c r="G16">
        <f>F16/((1+$B$1)^((A16-$A$4)/365))</f>
        <v>4220.604534735929</v>
      </c>
      <c r="H16" s="1">
        <v>49856</v>
      </c>
      <c r="I16">
        <v>0</v>
      </c>
      <c r="J16">
        <v>0</v>
      </c>
      <c r="K16">
        <v>0</v>
      </c>
      <c r="L16">
        <v>1546.244758373666</v>
      </c>
      <c r="M16">
        <v>0</v>
      </c>
      <c r="N16">
        <f>-I16-J16+K16+L16+M16</f>
        <v>1546.2447583736657</v>
      </c>
      <c r="O16">
        <f>N16/((1+$D$1)^((H16-$H$4)/365))</f>
        <v>740.3353980205568</v>
      </c>
    </row>
    <row r="17" spans="1:15">
      <c r="A17" s="1">
        <v>50040</v>
      </c>
      <c r="B17">
        <v>0</v>
      </c>
      <c r="C17">
        <v>6774.024655732248</v>
      </c>
      <c r="D17">
        <v>0</v>
      </c>
      <c r="E17">
        <v>0</v>
      </c>
      <c r="F17">
        <f>-B17+C17-D17+E17</f>
        <v>6774.024655732248</v>
      </c>
      <c r="G17">
        <f>F17/((1+$B$1)^((A17-$A$4)/365))</f>
        <v>4104.609638288229</v>
      </c>
      <c r="H17" s="1">
        <v>50040</v>
      </c>
      <c r="I17">
        <v>0</v>
      </c>
      <c r="J17">
        <v>0</v>
      </c>
      <c r="K17">
        <v>0</v>
      </c>
      <c r="L17">
        <v>1563.236459015135</v>
      </c>
      <c r="M17">
        <v>0</v>
      </c>
      <c r="N17">
        <f>-I17-J17+K17+L17+M17</f>
        <v>1563.2364590151346</v>
      </c>
      <c r="O17">
        <f>N17/((1+$D$1)^((H17-$H$4)/365))</f>
        <v>706.9092636053482</v>
      </c>
    </row>
    <row r="18" spans="1:15">
      <c r="A18" s="1">
        <v>50221</v>
      </c>
      <c r="B18">
        <v>0</v>
      </c>
      <c r="C18">
        <v>6815.471680918872</v>
      </c>
      <c r="D18">
        <v>0</v>
      </c>
      <c r="E18">
        <v>0</v>
      </c>
      <c r="F18">
        <f>-B18+C18-D18+E18</f>
        <v>6815.471680918872</v>
      </c>
      <c r="G18">
        <f>F18/((1+$B$1)^((A18-$A$4)/365))</f>
        <v>3975.085600664006</v>
      </c>
      <c r="H18" s="1">
        <v>50221</v>
      </c>
      <c r="I18">
        <v>0</v>
      </c>
      <c r="J18">
        <v>0</v>
      </c>
      <c r="K18">
        <v>0</v>
      </c>
      <c r="L18">
        <v>1572.801157135124</v>
      </c>
      <c r="M18">
        <v>0</v>
      </c>
      <c r="N18">
        <f>-I18-J18+K18+L18+M18</f>
        <v>1572.8011571351244</v>
      </c>
      <c r="O18">
        <f>N18/((1+$D$1)^((H18-$H$4)/365))</f>
        <v>672.366507612944</v>
      </c>
    </row>
    <row r="19" spans="1:15">
      <c r="A19" s="1">
        <v>50405</v>
      </c>
      <c r="B19">
        <v>0</v>
      </c>
      <c r="C19">
        <v>6928.435299939627</v>
      </c>
      <c r="D19">
        <v>0</v>
      </c>
      <c r="E19">
        <v>0</v>
      </c>
      <c r="F19">
        <f>-B19+C19-D19+E19</f>
        <v>6928.435299939627</v>
      </c>
      <c r="G19">
        <f>F19/((1+$B$1)^((A19-$A$4)/365))</f>
        <v>3887.1965250273015</v>
      </c>
      <c r="H19" s="1">
        <v>50405</v>
      </c>
      <c r="I19">
        <v>0</v>
      </c>
      <c r="J19">
        <v>0</v>
      </c>
      <c r="K19">
        <v>0</v>
      </c>
      <c r="L19">
        <v>1598.869684601453</v>
      </c>
      <c r="M19">
        <v>0</v>
      </c>
      <c r="N19">
        <f>-I19-J19+K19+L19+M19</f>
        <v>1598.8696846014527</v>
      </c>
      <c r="O19">
        <f>N19/((1+$D$1)^((H19-$H$4)/365))</f>
        <v>645.5561797679762</v>
      </c>
    </row>
    <row r="20" spans="1:15">
      <c r="A20" s="1">
        <v>50586</v>
      </c>
      <c r="B20">
        <v>0</v>
      </c>
      <c r="C20">
        <v>6951.781114537245</v>
      </c>
      <c r="D20">
        <v>0</v>
      </c>
      <c r="E20">
        <v>0</v>
      </c>
      <c r="F20">
        <f>-B20+C20-D20+E20</f>
        <v>6951.781114537245</v>
      </c>
      <c r="G20">
        <f>F20/((1+$B$1)^((A20-$A$4)/365))</f>
        <v>3754.2475117382255</v>
      </c>
      <c r="H20" s="1">
        <v>50586</v>
      </c>
      <c r="I20">
        <v>0</v>
      </c>
      <c r="J20">
        <v>0</v>
      </c>
      <c r="K20">
        <v>0</v>
      </c>
      <c r="L20">
        <v>1604.257180277826</v>
      </c>
      <c r="M20">
        <v>0</v>
      </c>
      <c r="N20">
        <f>-I20-J20+K20+L20+M20</f>
        <v>1604.2571802778257</v>
      </c>
      <c r="O20">
        <f>N20/((1+$D$1)^((H20-$H$4)/365))</f>
        <v>612.3337837189307</v>
      </c>
    </row>
    <row r="21" spans="1:15">
      <c r="A21" s="1">
        <v>50770</v>
      </c>
      <c r="B21">
        <v>0</v>
      </c>
      <c r="C21">
        <v>7067.004005938419</v>
      </c>
      <c r="D21">
        <v>173.4067045741567</v>
      </c>
      <c r="E21">
        <v>0</v>
      </c>
      <c r="F21">
        <f>-B21+C21-D21+E21</f>
        <v>6893.597301364262</v>
      </c>
      <c r="G21">
        <f>F21/((1+$B$1)^((A21-$A$4)/365))</f>
        <v>3581.1580337833016</v>
      </c>
      <c r="H21" s="1">
        <v>50770</v>
      </c>
      <c r="I21">
        <v>0</v>
      </c>
      <c r="J21">
        <v>0</v>
      </c>
      <c r="K21">
        <v>0</v>
      </c>
      <c r="L21">
        <v>1630.847078293482</v>
      </c>
      <c r="M21">
        <v>0</v>
      </c>
      <c r="N21">
        <f>-I21-J21+K21+L21+M21</f>
        <v>1630.847078293482</v>
      </c>
      <c r="O21">
        <f>N21/((1+$D$1)^((H21-$H$4)/365))</f>
        <v>587.9172351458355</v>
      </c>
    </row>
    <row r="22" spans="1:15">
      <c r="A22" s="1">
        <v>50951</v>
      </c>
      <c r="B22">
        <v>0</v>
      </c>
      <c r="C22">
        <v>7090.816736827996</v>
      </c>
      <c r="D22">
        <v>0</v>
      </c>
      <c r="E22">
        <v>0</v>
      </c>
      <c r="F22">
        <f>-B22+C22-D22+E22</f>
        <v>7090.816736827996</v>
      </c>
      <c r="G22">
        <f>F22/((1+$B$1)^((A22-$A$4)/365))</f>
        <v>3545.6782055305493</v>
      </c>
      <c r="H22" s="1">
        <v>50951</v>
      </c>
      <c r="I22">
        <v>0</v>
      </c>
      <c r="J22">
        <v>0</v>
      </c>
      <c r="K22">
        <v>0</v>
      </c>
      <c r="L22">
        <v>1636.342323883384</v>
      </c>
      <c r="M22">
        <v>0</v>
      </c>
      <c r="N22">
        <f>-I22-J22+K22+L22+M22</f>
        <v>1636.3423238833839</v>
      </c>
      <c r="O22">
        <f>N22/((1+$D$1)^((H22-$H$4)/365))</f>
        <v>557.6611244583124</v>
      </c>
    </row>
    <row r="23" spans="1:15">
      <c r="A23" s="1">
        <v>51135</v>
      </c>
      <c r="B23">
        <v>0</v>
      </c>
      <c r="C23">
        <v>7208.344086057186</v>
      </c>
      <c r="D23">
        <v>1324.975632611752</v>
      </c>
      <c r="E23">
        <v>0</v>
      </c>
      <c r="F23">
        <f>-B23+C23-D23+E23</f>
        <v>5883.368453445434</v>
      </c>
      <c r="G23">
        <f>F23/((1+$B$1)^((A23-$A$4)/365))</f>
        <v>2829.957208128219</v>
      </c>
      <c r="H23" s="1">
        <v>51135</v>
      </c>
      <c r="I23">
        <v>0</v>
      </c>
      <c r="J23">
        <v>0</v>
      </c>
      <c r="K23">
        <v>0</v>
      </c>
      <c r="L23">
        <v>1663.464019859351</v>
      </c>
      <c r="M23">
        <v>0</v>
      </c>
      <c r="N23">
        <f>-I23-J23+K23+L23+M23</f>
        <v>1663.4640198593506</v>
      </c>
      <c r="O23">
        <f>N23/((1+$D$1)^((H23-$H$4)/365))</f>
        <v>535.4246248649571</v>
      </c>
    </row>
    <row r="24" spans="1:15">
      <c r="A24" s="1">
        <v>51317</v>
      </c>
      <c r="B24">
        <v>0</v>
      </c>
      <c r="C24">
        <v>7252.72189934537</v>
      </c>
      <c r="D24">
        <v>0</v>
      </c>
      <c r="E24">
        <v>0</v>
      </c>
      <c r="F24">
        <f>-B24+C24-D24+E24</f>
        <v>7252.72189934537</v>
      </c>
      <c r="G24">
        <f>F24/((1+$B$1)^((A24-$A$4)/365))</f>
        <v>3357.2892077329743</v>
      </c>
      <c r="H24" s="1">
        <v>51317</v>
      </c>
      <c r="I24">
        <v>0</v>
      </c>
      <c r="J24">
        <v>0</v>
      </c>
      <c r="K24">
        <v>4477.634726229035</v>
      </c>
      <c r="L24">
        <v>3314.336964913281</v>
      </c>
      <c r="M24">
        <v>0</v>
      </c>
      <c r="N24">
        <f>-I24-J24+K24+L24+M24</f>
        <v>7791.971691142317</v>
      </c>
      <c r="O24">
        <f>N24/((1+$D$1)^((H24-$H$4)/365))</f>
        <v>2370.2311754374373</v>
      </c>
    </row>
    <row r="25" spans="1:15">
      <c r="A25" s="1">
        <v>51501</v>
      </c>
      <c r="B25">
        <v>0</v>
      </c>
      <c r="C25">
        <v>7332.422139997519</v>
      </c>
      <c r="D25">
        <v>1396.496258354338</v>
      </c>
      <c r="E25">
        <v>0</v>
      </c>
      <c r="F25">
        <f>-B25+C25-D25+E25</f>
        <v>5935.925881643181</v>
      </c>
      <c r="G25">
        <f>F25/((1+$B$1)^((A25-$A$4)/365))</f>
        <v>2643.181361576408</v>
      </c>
      <c r="H25" s="1">
        <v>51501</v>
      </c>
      <c r="I25">
        <v>0</v>
      </c>
      <c r="J25">
        <v>0</v>
      </c>
      <c r="K25">
        <v>3981.663889755521</v>
      </c>
      <c r="L25">
        <v>3350.758250241999</v>
      </c>
      <c r="M25">
        <v>0</v>
      </c>
      <c r="N25">
        <f>-I25-J25+K25+L25+M25</f>
        <v>7332.4221399975195</v>
      </c>
      <c r="O25">
        <f>N25/((1+$D$1)^((H25-$H$4)/365))</f>
        <v>2106.587597299391</v>
      </c>
    </row>
    <row r="26" spans="1:15">
      <c r="A26" s="1">
        <v>51682</v>
      </c>
      <c r="B26">
        <v>0</v>
      </c>
      <c r="C26">
        <v>7377.285732995844</v>
      </c>
      <c r="D26">
        <v>0</v>
      </c>
      <c r="E26">
        <v>0</v>
      </c>
      <c r="F26">
        <f>-B26+C26-D26+E26</f>
        <v>7377.285732995844</v>
      </c>
      <c r="G26">
        <f>F26/((1+$B$1)^((A26-$A$4)/365))</f>
        <v>3161.990628851703</v>
      </c>
      <c r="H26" s="1">
        <v>51682</v>
      </c>
      <c r="I26">
        <v>0</v>
      </c>
      <c r="J26">
        <v>0</v>
      </c>
      <c r="K26">
        <v>4072.128927672267</v>
      </c>
      <c r="L26">
        <v>3305.156805323577</v>
      </c>
      <c r="M26">
        <v>0</v>
      </c>
      <c r="N26">
        <f>-I26-J26+K26+L26+M26</f>
        <v>7377.285732995844</v>
      </c>
      <c r="O26">
        <f>N26/((1+$D$1)^((H26-$H$4)/365))</f>
        <v>2003.650282573857</v>
      </c>
    </row>
    <row r="27" spans="1:15">
      <c r="A27" s="1">
        <v>51866</v>
      </c>
      <c r="B27">
        <v>0</v>
      </c>
      <c r="C27">
        <v>7499.561187133899</v>
      </c>
      <c r="D27">
        <v>1469.415522456</v>
      </c>
      <c r="E27">
        <v>0</v>
      </c>
      <c r="F27">
        <f>-B27+C27-D27+E27</f>
        <v>6030.145664677899</v>
      </c>
      <c r="G27">
        <f>F27/((1+$B$1)^((A27-$A$4)/365))</f>
        <v>2486.2370916847503</v>
      </c>
      <c r="H27" s="1">
        <v>51866</v>
      </c>
      <c r="I27">
        <v>0</v>
      </c>
      <c r="J27">
        <v>0</v>
      </c>
      <c r="K27">
        <v>4139.622777302196</v>
      </c>
      <c r="L27">
        <v>3359.938409831703</v>
      </c>
      <c r="M27">
        <v>0</v>
      </c>
      <c r="N27">
        <f>-I27-J27+K27+L27+M27</f>
        <v>7499.561187133899</v>
      </c>
      <c r="O27">
        <f>N27/((1+$D$1)^((H27-$H$4)/365))</f>
        <v>1923.7555817607838</v>
      </c>
    </row>
    <row r="28" spans="1:15">
      <c r="A28" s="1">
        <v>52047</v>
      </c>
      <c r="B28">
        <v>0</v>
      </c>
      <c r="C28">
        <v>7524.831447655766</v>
      </c>
      <c r="D28">
        <v>0</v>
      </c>
      <c r="E28">
        <v>0</v>
      </c>
      <c r="F28">
        <f>-B28+C28-D28+E28</f>
        <v>7524.831447655766</v>
      </c>
      <c r="G28">
        <f>F28/((1+$B$1)^((A28-$A$4)/365))</f>
        <v>2986.3244828043885</v>
      </c>
      <c r="H28" s="1">
        <v>52047</v>
      </c>
      <c r="I28">
        <v>0</v>
      </c>
      <c r="J28">
        <v>0</v>
      </c>
      <c r="K28">
        <v>4219.674642332189</v>
      </c>
      <c r="L28">
        <v>3305.156805323577</v>
      </c>
      <c r="M28">
        <v>0</v>
      </c>
      <c r="N28">
        <f>-I28-J28+K28+L28+M28</f>
        <v>7524.831447655766</v>
      </c>
      <c r="O28">
        <f>N28/((1+$D$1)^((H28-$H$4)/365))</f>
        <v>1824.7529359154782</v>
      </c>
    </row>
    <row r="29" spans="1:15">
      <c r="A29" s="1">
        <v>52231</v>
      </c>
      <c r="B29">
        <v>0</v>
      </c>
      <c r="C29">
        <v>7649.552410876579</v>
      </c>
      <c r="D29">
        <v>1543.803832905121</v>
      </c>
      <c r="E29">
        <v>0</v>
      </c>
      <c r="F29">
        <f>-B29+C29-D29+E29</f>
        <v>6105.748577971457</v>
      </c>
      <c r="G29">
        <f>F29/((1+$B$1)^((A29-$A$4)/365))</f>
        <v>2330.933586633</v>
      </c>
      <c r="H29" s="1">
        <v>52231</v>
      </c>
      <c r="I29">
        <v>0</v>
      </c>
      <c r="J29">
        <v>0</v>
      </c>
      <c r="K29">
        <v>4289.614001044875</v>
      </c>
      <c r="L29">
        <v>3359.938409831703</v>
      </c>
      <c r="M29">
        <v>0</v>
      </c>
      <c r="N29">
        <f>-I29-J29+K29+L29+M29</f>
        <v>7649.5524108765785</v>
      </c>
      <c r="O29">
        <f>N29/((1+$D$1)^((H29-$H$4)/365))</f>
        <v>1751.9916905321427</v>
      </c>
    </row>
    <row r="30" spans="1:15">
      <c r="A30" s="1">
        <v>52412</v>
      </c>
      <c r="B30">
        <v>0</v>
      </c>
      <c r="C30">
        <v>7675.328076608879</v>
      </c>
      <c r="D30">
        <v>0</v>
      </c>
      <c r="E30">
        <v>0</v>
      </c>
      <c r="F30">
        <f>-B30+C30-D30+E30</f>
        <v>7675.328076608879</v>
      </c>
      <c r="G30">
        <f>F30/((1+$B$1)^((A30-$A$4)/365))</f>
        <v>2820.4175670930326</v>
      </c>
      <c r="H30" s="1">
        <v>52412</v>
      </c>
      <c r="I30">
        <v>0</v>
      </c>
      <c r="J30">
        <v>0</v>
      </c>
      <c r="K30">
        <v>4370.171271285302</v>
      </c>
      <c r="L30">
        <v>3305.156805323577</v>
      </c>
      <c r="M30">
        <v>0</v>
      </c>
      <c r="N30">
        <f>-I30-J30+K30+L30+M30</f>
        <v>7675.328076608879</v>
      </c>
      <c r="O30">
        <f>N30/((1+$D$1)^((H30-$H$4)/365))</f>
        <v>1661.82856663731</v>
      </c>
    </row>
    <row r="31" spans="1:15">
      <c r="A31" s="1">
        <v>52596</v>
      </c>
      <c r="B31">
        <v>0</v>
      </c>
      <c r="C31">
        <v>7802.543459094108</v>
      </c>
      <c r="D31">
        <v>1619.667207585218</v>
      </c>
      <c r="E31">
        <v>0</v>
      </c>
      <c r="F31">
        <f>-B31+C31-D31+E31</f>
        <v>6182.876251508889</v>
      </c>
      <c r="G31">
        <f>F31/((1+$B$1)^((A31-$A$4)/365))</f>
        <v>2185.5350789802474</v>
      </c>
      <c r="H31" s="1">
        <v>52596</v>
      </c>
      <c r="I31">
        <v>0</v>
      </c>
      <c r="J31">
        <v>0</v>
      </c>
      <c r="K31">
        <v>4442.605049262404</v>
      </c>
      <c r="L31">
        <v>3359.938409831703</v>
      </c>
      <c r="M31">
        <v>0</v>
      </c>
      <c r="N31">
        <f>-I31-J31+K31+L31+M31</f>
        <v>7802.543459094108</v>
      </c>
      <c r="O31">
        <f>N31/((1+$D$1)^((H31-$H$4)/365))</f>
        <v>1595.5638610203437</v>
      </c>
    </row>
    <row r="32" spans="1:15">
      <c r="A32" s="1">
        <v>52778</v>
      </c>
      <c r="B32">
        <v>0</v>
      </c>
      <c r="C32">
        <v>7850.579431387709</v>
      </c>
      <c r="D32">
        <v>0</v>
      </c>
      <c r="E32">
        <v>0</v>
      </c>
      <c r="F32">
        <f>-B32+C32-D32+E32</f>
        <v>7850.579431387709</v>
      </c>
      <c r="G32">
        <f>F32/((1+$B$1)^((A32-$A$4)/365))</f>
        <v>2670.5631223195173</v>
      </c>
      <c r="H32" s="1">
        <v>52778</v>
      </c>
      <c r="I32">
        <v>0</v>
      </c>
      <c r="J32">
        <v>0</v>
      </c>
      <c r="K32">
        <v>0</v>
      </c>
      <c r="L32">
        <v>3314.336964913281</v>
      </c>
      <c r="M32">
        <v>4536.242466474427</v>
      </c>
      <c r="N32">
        <f>-I32-J32+K32+L32+M32</f>
        <v>7850.579431387709</v>
      </c>
      <c r="O32">
        <f>N32/((1+$D$1)^((H32-$H$4)/365))</f>
        <v>1517.1835231132482</v>
      </c>
    </row>
    <row r="33" spans="1:15">
      <c r="A33" s="1">
        <v>52962</v>
      </c>
      <c r="B33">
        <v>0</v>
      </c>
      <c r="C33">
        <v>7936.849535029334</v>
      </c>
      <c r="D33">
        <v>1697.086209732491</v>
      </c>
      <c r="E33">
        <v>0</v>
      </c>
      <c r="F33">
        <f>-B33+C33-D33+E33</f>
        <v>6239.7633252968435</v>
      </c>
      <c r="G33">
        <f>F33/((1+$B$1)^((A33-$A$4)/365))</f>
        <v>2041.8320521744506</v>
      </c>
      <c r="H33" s="1">
        <v>52962</v>
      </c>
      <c r="I33">
        <v>0</v>
      </c>
      <c r="J33">
        <v>0</v>
      </c>
      <c r="K33">
        <v>0</v>
      </c>
      <c r="L33">
        <v>3168.317023175049</v>
      </c>
      <c r="M33">
        <v>4768.532511854286</v>
      </c>
      <c r="N33">
        <f>-I33-J33+K33+L33+M33</f>
        <v>7936.849535029334</v>
      </c>
      <c r="O33">
        <f>N33/((1+$D$1)^((H33-$H$4)/365))</f>
        <v>1448.6827050898003</v>
      </c>
    </row>
    <row r="34" spans="1:15">
      <c r="A34" s="1">
        <v>53143</v>
      </c>
      <c r="B34">
        <v>0</v>
      </c>
      <c r="C34">
        <v>7985.411330903877</v>
      </c>
      <c r="D34">
        <v>0</v>
      </c>
      <c r="E34">
        <v>0</v>
      </c>
      <c r="F34">
        <f>-B34+C34-D34+E34</f>
        <v>7985.411330903877</v>
      </c>
      <c r="G34">
        <f>F34/((1+$B$1)^((A34-$A$4)/365))</f>
        <v>2515.212435997825</v>
      </c>
      <c r="H34" s="1">
        <v>53143</v>
      </c>
      <c r="I34">
        <v>0</v>
      </c>
      <c r="J34">
        <v>0</v>
      </c>
      <c r="K34">
        <v>0</v>
      </c>
      <c r="L34">
        <v>2936.024910292893</v>
      </c>
      <c r="M34">
        <v>5049.386420610984</v>
      </c>
      <c r="N34">
        <f>-I34-J34+K34+L34+M34</f>
        <v>7985.411330903877</v>
      </c>
      <c r="O34">
        <f>N34/((1+$D$1)^((H34-$H$4)/365))</f>
        <v>1377.8935730629914</v>
      </c>
    </row>
    <row r="35" spans="1:15">
      <c r="A35" s="1">
        <v>53327</v>
      </c>
      <c r="B35">
        <v>0</v>
      </c>
      <c r="C35">
        <v>8117.766214841513</v>
      </c>
      <c r="D35">
        <v>1776.014977909577</v>
      </c>
      <c r="E35">
        <v>0</v>
      </c>
      <c r="F35">
        <f>-B35+C35-D35+E35</f>
        <v>6341.751236931936</v>
      </c>
      <c r="G35">
        <f>F35/((1+$B$1)^((A35-$A$4)/365))</f>
        <v>1921.4865401118257</v>
      </c>
      <c r="H35" s="1">
        <v>53327</v>
      </c>
      <c r="I35">
        <v>0</v>
      </c>
      <c r="J35">
        <v>0</v>
      </c>
      <c r="K35">
        <v>0</v>
      </c>
      <c r="L35">
        <v>2781.052777523778</v>
      </c>
      <c r="M35">
        <v>5336.713437317734</v>
      </c>
      <c r="N35">
        <f>-I35-J35+K35+L35+M35</f>
        <v>8117.766214841513</v>
      </c>
      <c r="O35">
        <f>N35/((1+$D$1)^((H35-$H$4)/365))</f>
        <v>1322.9506542664494</v>
      </c>
    </row>
    <row r="36" spans="1:15">
      <c r="A36" s="1">
        <v>53508</v>
      </c>
      <c r="B36">
        <v>0</v>
      </c>
      <c r="C36">
        <v>8145.119557521959</v>
      </c>
      <c r="D36">
        <v>0</v>
      </c>
      <c r="E36">
        <v>0</v>
      </c>
      <c r="F36">
        <f>-B36+C36-D36+E36</f>
        <v>8145.119557521959</v>
      </c>
      <c r="G36">
        <f>F36/((1+$B$1)^((A36-$A$4)/365))</f>
        <v>2375.4784117757254</v>
      </c>
      <c r="H36" s="1">
        <v>53508</v>
      </c>
      <c r="I36">
        <v>0</v>
      </c>
      <c r="J36">
        <v>0</v>
      </c>
      <c r="K36">
        <v>0</v>
      </c>
      <c r="L36">
        <v>2523.995524148214</v>
      </c>
      <c r="M36">
        <v>5621.124033373745</v>
      </c>
      <c r="N36">
        <f>-I36-J36+K36+L36+M36</f>
        <v>8145.119557521959</v>
      </c>
      <c r="O36">
        <f>N36/((1+$D$1)^((H36-$H$4)/365))</f>
        <v>1254.8673611823679</v>
      </c>
    </row>
    <row r="37" spans="1:15">
      <c r="A37" s="1">
        <v>53692</v>
      </c>
      <c r="B37">
        <v>0</v>
      </c>
      <c r="C37">
        <v>8280.121539138341</v>
      </c>
      <c r="D37">
        <v>1860.644866508866</v>
      </c>
      <c r="E37">
        <v>0</v>
      </c>
      <c r="F37">
        <f>-B37+C37-D37+E37</f>
        <v>6419.476672629475</v>
      </c>
      <c r="G37">
        <f>F37/((1+$B$1)^((A37-$A$4)/365))</f>
        <v>1800.959779349015</v>
      </c>
      <c r="H37" s="1">
        <v>53692</v>
      </c>
      <c r="I37">
        <v>0</v>
      </c>
      <c r="J37">
        <v>0</v>
      </c>
      <c r="K37">
        <v>0</v>
      </c>
      <c r="L37">
        <v>2339.136701993426</v>
      </c>
      <c r="M37">
        <v>5744.390198968575</v>
      </c>
      <c r="N37">
        <f>-I37-J37+K37+L37+M37</f>
        <v>8083.526900962001</v>
      </c>
      <c r="O37">
        <f>N37/((1+$D$1)^((H37-$H$4)/365))</f>
        <v>1176.2238218554717</v>
      </c>
    </row>
    <row r="38" spans="1:15">
      <c r="A38" s="1">
        <v>53873</v>
      </c>
      <c r="B38">
        <v>0</v>
      </c>
      <c r="C38">
        <v>8308.021948672393</v>
      </c>
      <c r="D38">
        <v>0</v>
      </c>
      <c r="E38">
        <v>0</v>
      </c>
      <c r="F38">
        <f>-B38+C38-D38+E38</f>
        <v>8308.021948672393</v>
      </c>
      <c r="G38">
        <f>F38/((1+$B$1)^((A38-$A$4)/365))</f>
        <v>2243.5073888992947</v>
      </c>
      <c r="H38" s="1">
        <v>53873</v>
      </c>
      <c r="I38">
        <v>0</v>
      </c>
      <c r="J38">
        <v>0</v>
      </c>
      <c r="K38">
        <v>0</v>
      </c>
      <c r="L38">
        <v>2073.111562273373</v>
      </c>
      <c r="M38">
        <v>6234.910386399019</v>
      </c>
      <c r="N38">
        <f>-I38-J38+K38+L38+M38</f>
        <v>8308.021948672393</v>
      </c>
      <c r="O38">
        <f>N38/((1+$D$1)^((H38-$H$4)/365))</f>
        <v>1142.82563250537</v>
      </c>
    </row>
    <row r="39" spans="1:15">
      <c r="A39" s="1">
        <v>54057</v>
      </c>
      <c r="B39">
        <v>0</v>
      </c>
      <c r="C39">
        <v>8445.723969921106</v>
      </c>
      <c r="D39">
        <v>3438.639617232189</v>
      </c>
      <c r="E39">
        <v>0</v>
      </c>
      <c r="F39">
        <f>-B39+C39-D39+E39</f>
        <v>5007.084352688917</v>
      </c>
      <c r="G39">
        <f>F39/((1+$B$1)^((A39-$A$4)/365))</f>
        <v>1300.6652617154712</v>
      </c>
      <c r="H39" s="1">
        <v>54057</v>
      </c>
      <c r="I39">
        <v>0</v>
      </c>
      <c r="J39">
        <v>0</v>
      </c>
      <c r="K39">
        <v>0</v>
      </c>
      <c r="L39">
        <v>1856.026278386273</v>
      </c>
      <c r="M39">
        <v>4160.320720455895</v>
      </c>
      <c r="N39">
        <f>-I39-J39+K39+L39+M39</f>
        <v>6016.3469988421675</v>
      </c>
      <c r="O39">
        <f>N39/((1+$D$1)^((H39-$H$4)/365))</f>
        <v>781.6348901475553</v>
      </c>
    </row>
    <row r="40" spans="1:15">
      <c r="A40" s="1">
        <v>54239</v>
      </c>
      <c r="B40">
        <v>0</v>
      </c>
      <c r="C40">
        <v>8497.719651168572</v>
      </c>
      <c r="D40">
        <v>0</v>
      </c>
      <c r="E40">
        <v>0</v>
      </c>
      <c r="F40">
        <f>-B40+C40-D40+E40</f>
        <v>8497.719651168572</v>
      </c>
      <c r="G40">
        <f>F40/((1+$B$1)^((A40-$A$4)/365))</f>
        <v>2124.3053395178986</v>
      </c>
      <c r="H40" s="1">
        <v>54239</v>
      </c>
      <c r="I40">
        <v>0</v>
      </c>
      <c r="J40">
        <v>0</v>
      </c>
      <c r="K40">
        <v>0</v>
      </c>
      <c r="L40">
        <v>1665.332621321424</v>
      </c>
      <c r="M40">
        <v>6832.387029847148</v>
      </c>
      <c r="N40">
        <f>-I40-J40+K40+L40+M40</f>
        <v>8497.719651168572</v>
      </c>
      <c r="O40">
        <f>N40/((1+$D$1)^((H40-$H$4)/365))</f>
        <v>1043.354443555572</v>
      </c>
    </row>
    <row r="41" spans="1:15">
      <c r="A41" s="1">
        <v>54423</v>
      </c>
      <c r="B41">
        <v>0</v>
      </c>
      <c r="C41">
        <v>8591.101185796797</v>
      </c>
      <c r="D41">
        <v>3522.465668462399</v>
      </c>
      <c r="E41">
        <v>0</v>
      </c>
      <c r="F41">
        <f>-B41+C41-D41+E41</f>
        <v>5068.635517334398</v>
      </c>
      <c r="G41">
        <f>F41/((1+$B$1)^((A41-$A$4)/365))</f>
        <v>1218.8671387329778</v>
      </c>
      <c r="H41" s="1">
        <v>54423</v>
      </c>
      <c r="I41">
        <v>0</v>
      </c>
      <c r="J41">
        <v>0</v>
      </c>
      <c r="K41">
        <v>0</v>
      </c>
      <c r="L41">
        <v>1408.844080673576</v>
      </c>
      <c r="M41">
        <v>4457.526194075477</v>
      </c>
      <c r="N41">
        <f>-I41-J41+K41+L41+M41</f>
        <v>5866.370274749053</v>
      </c>
      <c r="O41">
        <f>N41/((1+$D$1)^((H41-$H$4)/365))</f>
        <v>680.2799405298404</v>
      </c>
    </row>
    <row r="42" spans="1:15">
      <c r="A42" s="1">
        <v>54604</v>
      </c>
      <c r="B42">
        <v>0</v>
      </c>
      <c r="C42">
        <v>8643.666035398759</v>
      </c>
      <c r="D42">
        <v>0</v>
      </c>
      <c r="E42">
        <v>0</v>
      </c>
      <c r="F42">
        <f>-B42+C42-D42+E42</f>
        <v>8643.666035398759</v>
      </c>
      <c r="G42">
        <f>F42/((1+$B$1)^((A42-$A$4)/365))</f>
        <v>2000.7312926463499</v>
      </c>
      <c r="H42" s="1">
        <v>54604</v>
      </c>
      <c r="I42">
        <v>0</v>
      </c>
      <c r="J42">
        <v>0</v>
      </c>
      <c r="K42">
        <v>0</v>
      </c>
      <c r="L42">
        <v>1212.83515156198</v>
      </c>
      <c r="M42">
        <v>7430.830883836779</v>
      </c>
      <c r="N42">
        <f>-I42-J42+K42+L42+M42</f>
        <v>8643.666035398759</v>
      </c>
      <c r="O42">
        <f>N42/((1+$D$1)^((H42-$H$4)/365))</f>
        <v>947.5659076839487</v>
      </c>
    </row>
    <row r="43" spans="1:15">
      <c r="A43" s="1">
        <v>54788</v>
      </c>
      <c r="B43">
        <v>0</v>
      </c>
      <c r="C43">
        <v>8786.931218305923</v>
      </c>
      <c r="D43">
        <v>3607.888088731016</v>
      </c>
      <c r="E43">
        <v>0</v>
      </c>
      <c r="F43">
        <f>-B43+C43-D43+E43</f>
        <v>5179.043129574907</v>
      </c>
      <c r="G43">
        <f>F43/((1+$B$1)^((A43-$A$4)/365))</f>
        <v>1153.1640059171702</v>
      </c>
      <c r="H43" s="1">
        <v>54788</v>
      </c>
      <c r="I43">
        <v>0</v>
      </c>
      <c r="J43">
        <v>0</v>
      </c>
      <c r="K43">
        <v>0</v>
      </c>
      <c r="L43">
        <v>933.2611433963299</v>
      </c>
      <c r="M43">
        <v>4813.869715618921</v>
      </c>
      <c r="N43">
        <f>-I43-J43+K43+L43+M43</f>
        <v>5747.130859015251</v>
      </c>
      <c r="O43">
        <f>N43/((1+$D$1)^((H43-$H$4)/365))</f>
        <v>595.0469820654607</v>
      </c>
    </row>
    <row r="44" spans="1:15">
      <c r="A44" s="1">
        <v>54969</v>
      </c>
      <c r="B44">
        <v>0</v>
      </c>
      <c r="C44">
        <v>8816.539356106729</v>
      </c>
      <c r="D44">
        <v>0</v>
      </c>
      <c r="E44">
        <v>0</v>
      </c>
      <c r="F44">
        <f>-B44+C44-D44+E44</f>
        <v>8816.539356106729</v>
      </c>
      <c r="G44">
        <f>F44/((1+$B$1)^((A44-$A$4)/365))</f>
        <v>1889.5795541659961</v>
      </c>
      <c r="H44" s="1">
        <v>54969</v>
      </c>
      <c r="I44">
        <v>0</v>
      </c>
      <c r="J44">
        <v>0</v>
      </c>
      <c r="K44">
        <v>0</v>
      </c>
      <c r="L44">
        <v>727.0727825753532</v>
      </c>
      <c r="M44">
        <v>8089.466573531376</v>
      </c>
      <c r="N44">
        <f>-I44-J44+K44+L44+M44</f>
        <v>8816.539356106729</v>
      </c>
      <c r="O44">
        <f>N44/((1+$D$1)^((H44-$H$4)/365))</f>
        <v>862.9618087835956</v>
      </c>
    </row>
    <row r="45" spans="1:15">
      <c r="A45" s="1">
        <v>55153</v>
      </c>
      <c r="B45">
        <v>0</v>
      </c>
      <c r="C45">
        <v>8962.669842672036</v>
      </c>
      <c r="D45">
        <v>3695.045850505633</v>
      </c>
      <c r="E45">
        <v>0</v>
      </c>
      <c r="F45">
        <f>-B45+C45-D45+E45</f>
        <v>5267.623992166403</v>
      </c>
      <c r="G45">
        <f>F45/((1+$B$1)^((A45-$A$4)/365))</f>
        <v>1086.0068435808098</v>
      </c>
      <c r="H45" s="1">
        <v>55153</v>
      </c>
      <c r="I45">
        <v>0</v>
      </c>
      <c r="J45">
        <v>0</v>
      </c>
      <c r="K45">
        <v>0</v>
      </c>
      <c r="L45">
        <v>412.8854990777206</v>
      </c>
      <c r="M45">
        <v>5173.866243467645</v>
      </c>
      <c r="N45">
        <f>-I45-J45+K45+L45+M45</f>
        <v>5586.751742545366</v>
      </c>
      <c r="O45">
        <f>N45/((1+$D$1)^((H45-$H$4)/365))</f>
        <v>516.465744495263</v>
      </c>
    </row>
    <row r="46" spans="1:15">
      <c r="A46" s="1">
        <v>55334</v>
      </c>
      <c r="B46">
        <v>0</v>
      </c>
      <c r="C46">
        <v>8992.870143228873</v>
      </c>
      <c r="D46">
        <v>0</v>
      </c>
      <c r="E46">
        <v>0</v>
      </c>
      <c r="F46">
        <f>-B46+C46-D46+E46</f>
        <v>8992.870143228873</v>
      </c>
      <c r="G46">
        <f>F46/((1+$B$1)^((A46-$A$4)/365))</f>
        <v>1784.602912267887</v>
      </c>
      <c r="H46" s="1">
        <v>55334</v>
      </c>
      <c r="I46">
        <v>0</v>
      </c>
      <c r="J46">
        <v>0</v>
      </c>
      <c r="K46">
        <v>3727.846751949044</v>
      </c>
      <c r="L46">
        <v>200.9000176708441</v>
      </c>
      <c r="M46">
        <v>5064.123373608984</v>
      </c>
      <c r="N46">
        <f>-I46-J46+K46+L46+M46</f>
        <v>8992.870143228873</v>
      </c>
      <c r="O46">
        <f>N46/((1+$D$1)^((H46-$H$4)/365))</f>
        <v>785.9116472850611</v>
      </c>
    </row>
    <row r="47" spans="1:15">
      <c r="A47" s="1">
        <v>55518</v>
      </c>
      <c r="B47">
        <v>0</v>
      </c>
      <c r="C47">
        <v>9141.923239525484</v>
      </c>
      <c r="D47">
        <v>3773.332048851086</v>
      </c>
      <c r="E47">
        <v>0</v>
      </c>
      <c r="F47">
        <f>-B47+C47-D47+E47</f>
        <v>5368.591190674398</v>
      </c>
      <c r="G47">
        <f>F47/((1+$B$1)^((A47-$A$4)/365))</f>
        <v>1024.8360027585227</v>
      </c>
      <c r="H47" s="1">
        <v>55518</v>
      </c>
      <c r="I47">
        <v>0</v>
      </c>
      <c r="J47">
        <v>0</v>
      </c>
      <c r="K47">
        <v>5436.766766732922</v>
      </c>
      <c r="L47">
        <v>0</v>
      </c>
      <c r="M47">
        <v>0</v>
      </c>
      <c r="N47">
        <f>-I47-J47+K47+L47+M47</f>
        <v>5436.766766732922</v>
      </c>
      <c r="O47">
        <f>N47/((1+$D$1)^((H47-$H$4)/365))</f>
        <v>448.7503787698864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7">
      <c r="A1" t="s">
        <v>16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9</v>
      </c>
    </row>
    <row r="2" spans="1:7">
      <c r="A2" s="1">
        <v>48214</v>
      </c>
      <c r="B2">
        <v>4</v>
      </c>
      <c r="C2">
        <v>58410.96179501392</v>
      </c>
      <c r="D2">
        <v>20</v>
      </c>
      <c r="E2">
        <f>SUMPRODUCT(('5_dat_BASE_Inputs'!$C$12:$C$51&gt;=B2)*('5_dat_BASE_Inputs'!$C$12:$C$51&lt;=D2)*'5_dat_BASE_Inputs'!$L$12:$L$51/((1+'5_dat_BASE_Inputs'!$B$2)^(('5_dat_BASE_Inputs'!$A$12:$A$51-A2)/365)))/C2</f>
        <v>1.3478328676784694</v>
      </c>
      <c r="F2">
        <v>1.34783286767847</v>
      </c>
      <c r="G2">
        <f>E2-F2</f>
        <v>-6.661338147750939e-16</v>
      </c>
    </row>
    <row r="3" spans="1:7">
      <c r="A3" s="1">
        <v>48395</v>
      </c>
      <c r="B3">
        <v>5</v>
      </c>
      <c r="C3">
        <v>58401.5132408575</v>
      </c>
      <c r="D3">
        <v>20</v>
      </c>
      <c r="E3">
        <f>SUMPRODUCT(('5_dat_BASE_Inputs'!$C$12:$C$51&gt;=B3)*('5_dat_BASE_Inputs'!$C$12:$C$51&lt;=D3)*'5_dat_BASE_Inputs'!$L$12:$L$51/((1+'5_dat_BASE_Inputs'!$B$2)^(('5_dat_BASE_Inputs'!$A$12:$A$51-A3)/365)))/C3</f>
        <v>1.3448881908132981</v>
      </c>
      <c r="F3">
        <v>1.344888190813299</v>
      </c>
      <c r="G3">
        <f>E3-F3</f>
        <v>-4.440892098500626e-16</v>
      </c>
    </row>
    <row r="4" spans="1:7">
      <c r="A4" s="1">
        <v>48579</v>
      </c>
      <c r="B4">
        <v>6</v>
      </c>
      <c r="C4">
        <v>58401.5132408575</v>
      </c>
      <c r="D4">
        <v>20</v>
      </c>
      <c r="E4">
        <f>SUMPRODUCT(('5_dat_BASE_Inputs'!$C$12:$C$51&gt;=B4)*('5_dat_BASE_Inputs'!$C$12:$C$51&lt;=D4)*'5_dat_BASE_Inputs'!$L$12:$L$51/((1+'5_dat_BASE_Inputs'!$B$2)^(('5_dat_BASE_Inputs'!$A$12:$A$51-A4)/365)))/C4</f>
        <v>1.34181491404665</v>
      </c>
      <c r="F4">
        <v>1.34181491404665</v>
      </c>
      <c r="G4">
        <f>E4-F4</f>
        <v>-2.220446049250313e-16</v>
      </c>
    </row>
    <row r="5" spans="1:7">
      <c r="A5" s="1">
        <v>48760</v>
      </c>
      <c r="B5">
        <v>7</v>
      </c>
      <c r="C5">
        <v>56840.61468684782</v>
      </c>
      <c r="D5">
        <v>20</v>
      </c>
      <c r="E5">
        <f>SUMPRODUCT(('5_dat_BASE_Inputs'!$C$12:$C$51&gt;=B5)*('5_dat_BASE_Inputs'!$C$12:$C$51&lt;=D5)*'5_dat_BASE_Inputs'!$L$12:$L$51/((1+'5_dat_BASE_Inputs'!$B$2)^(('5_dat_BASE_Inputs'!$A$12:$A$51-A5)/365)))/C5</f>
        <v>1.3397638259564828</v>
      </c>
      <c r="F5">
        <v>1.339763825956483</v>
      </c>
      <c r="G5">
        <f>E5-F5</f>
        <v>-2.220446049250313e-16</v>
      </c>
    </row>
    <row r="6" spans="1:7">
      <c r="A6" s="1">
        <v>48944</v>
      </c>
      <c r="B6">
        <v>8</v>
      </c>
      <c r="C6">
        <v>55205.97733043029</v>
      </c>
      <c r="D6">
        <v>20</v>
      </c>
      <c r="E6">
        <f>SUMPRODUCT(('5_dat_BASE_Inputs'!$C$12:$C$51&gt;=B6)*('5_dat_BASE_Inputs'!$C$12:$C$51&lt;=D6)*'5_dat_BASE_Inputs'!$L$12:$L$51/((1+'5_dat_BASE_Inputs'!$B$2)^(('5_dat_BASE_Inputs'!$A$12:$A$51-A6)/365)))/C6</f>
        <v>1.3376326054201435</v>
      </c>
      <c r="F6">
        <v>1.337632605420144</v>
      </c>
      <c r="G6">
        <f>E6-F6</f>
        <v>0.0</v>
      </c>
    </row>
    <row r="7" spans="1:7">
      <c r="A7" s="1">
        <v>49125</v>
      </c>
      <c r="B7">
        <v>9</v>
      </c>
      <c r="C7">
        <v>51931.07211933206</v>
      </c>
      <c r="D7">
        <v>20</v>
      </c>
      <c r="E7">
        <f>SUMPRODUCT(('5_dat_BASE_Inputs'!$C$12:$C$51&gt;=B7)*('5_dat_BASE_Inputs'!$C$12:$C$51&lt;=D7)*'5_dat_BASE_Inputs'!$L$12:$L$51/((1+'5_dat_BASE_Inputs'!$B$2)^(('5_dat_BASE_Inputs'!$A$12:$A$51-A7)/365)))/C7</f>
        <v>1.3365759631960117</v>
      </c>
      <c r="F7">
        <v>1.336575963196012</v>
      </c>
      <c r="G7">
        <f>E7-F7</f>
        <v>-2.220446049250313e-16</v>
      </c>
    </row>
    <row r="8" spans="1:7">
      <c r="A8" s="1">
        <v>49309</v>
      </c>
      <c r="B8">
        <v>10</v>
      </c>
      <c r="C8">
        <v>48501.45628489112</v>
      </c>
      <c r="D8">
        <v>20</v>
      </c>
      <c r="E8">
        <f>SUMPRODUCT(('5_dat_BASE_Inputs'!$C$12:$C$51&gt;=B8)*('5_dat_BASE_Inputs'!$C$12:$C$51&lt;=D8)*'5_dat_BASE_Inputs'!$L$12:$L$51/((1+'5_dat_BASE_Inputs'!$B$2)^(('5_dat_BASE_Inputs'!$A$12:$A$51-A8)/365)))/C8</f>
        <v>1.3356282294135604</v>
      </c>
      <c r="F8">
        <v>1.335628229413561</v>
      </c>
      <c r="G8">
        <f>E8-F8</f>
        <v>-2.220446049250313e-16</v>
      </c>
    </row>
    <row r="9" spans="1:7">
      <c r="A9" s="1">
        <v>49490</v>
      </c>
      <c r="B9">
        <v>11</v>
      </c>
      <c r="C9">
        <v>44925.4923117078</v>
      </c>
      <c r="D9">
        <v>20</v>
      </c>
      <c r="E9">
        <f>SUMPRODUCT(('5_dat_BASE_Inputs'!$C$12:$C$51&gt;=B9)*('5_dat_BASE_Inputs'!$C$12:$C$51&lt;=D9)*'5_dat_BASE_Inputs'!$L$12:$L$51/((1+'5_dat_BASE_Inputs'!$B$2)^(('5_dat_BASE_Inputs'!$A$12:$A$51-A9)/365)))/C9</f>
        <v>1.3349227322017665</v>
      </c>
      <c r="F9">
        <v>1.334922732201767</v>
      </c>
      <c r="G9">
        <f>E9-F9</f>
        <v>-2.220446049250313e-16</v>
      </c>
    </row>
    <row r="10" spans="1:7">
      <c r="A10" s="1">
        <v>49674</v>
      </c>
      <c r="B10">
        <v>12</v>
      </c>
      <c r="C10">
        <v>41180.59532224437</v>
      </c>
      <c r="D10">
        <v>20</v>
      </c>
      <c r="E10">
        <f>SUMPRODUCT(('5_dat_BASE_Inputs'!$C$12:$C$51&gt;=B10)*('5_dat_BASE_Inputs'!$C$12:$C$51&lt;=D10)*'5_dat_BASE_Inputs'!$L$12:$L$51/((1+'5_dat_BASE_Inputs'!$B$2)^(('5_dat_BASE_Inputs'!$A$12:$A$51-A10)/365)))/C10</f>
        <v>1.3344483660864148</v>
      </c>
      <c r="F10">
        <v>1.334448366086415</v>
      </c>
      <c r="G10">
        <f>E10-F10</f>
        <v>-2.220446049250313e-16</v>
      </c>
    </row>
    <row r="11" spans="1:7">
      <c r="A11" s="1">
        <v>49856</v>
      </c>
      <c r="B11">
        <v>13</v>
      </c>
      <c r="C11">
        <v>37275.59085244023</v>
      </c>
      <c r="D11">
        <v>20</v>
      </c>
      <c r="E11">
        <f>SUMPRODUCT(('5_dat_BASE_Inputs'!$C$12:$C$51&gt;=B11)*('5_dat_BASE_Inputs'!$C$12:$C$51&lt;=D11)*'5_dat_BASE_Inputs'!$L$12:$L$51/((1+'5_dat_BASE_Inputs'!$B$2)^(('5_dat_BASE_Inputs'!$A$12:$A$51-A11)/365)))/C11</f>
        <v>1.334380878763428</v>
      </c>
      <c r="F11">
        <v>1.334380878763428</v>
      </c>
      <c r="G11">
        <f>E11-F11</f>
        <v>-2.220446049250313e-16</v>
      </c>
    </row>
    <row r="12" spans="1:7">
      <c r="A12" s="1">
        <v>50040</v>
      </c>
      <c r="B12">
        <v>14</v>
      </c>
      <c r="C12">
        <v>33207.92077519796</v>
      </c>
      <c r="D12">
        <v>20</v>
      </c>
      <c r="E12">
        <f>SUMPRODUCT(('5_dat_BASE_Inputs'!$C$12:$C$51&gt;=B12)*('5_dat_BASE_Inputs'!$C$12:$C$51&lt;=D12)*'5_dat_BASE_Inputs'!$L$12:$L$51/((1+'5_dat_BASE_Inputs'!$B$2)^(('5_dat_BASE_Inputs'!$A$12:$A$51-A12)/365)))/C12</f>
        <v>1.3348198305634582</v>
      </c>
      <c r="F12">
        <v>1.334819830563458</v>
      </c>
      <c r="G12">
        <f>E12-F12</f>
        <v>0.0</v>
      </c>
    </row>
    <row r="13" spans="1:7">
      <c r="A13" s="1">
        <v>50221</v>
      </c>
      <c r="B13">
        <v>15</v>
      </c>
      <c r="C13">
        <v>28967.02252813268</v>
      </c>
      <c r="D13">
        <v>20</v>
      </c>
      <c r="E13">
        <f>SUMPRODUCT(('5_dat_BASE_Inputs'!$C$12:$C$51&gt;=B13)*('5_dat_BASE_Inputs'!$C$12:$C$51&lt;=D13)*'5_dat_BASE_Inputs'!$L$12:$L$51/((1+'5_dat_BASE_Inputs'!$B$2)^(('5_dat_BASE_Inputs'!$A$12:$A$51-A13)/365)))/C13</f>
        <v>1.3361321023804678</v>
      </c>
      <c r="F13">
        <v>1.336132102380468</v>
      </c>
      <c r="G13">
        <f>E13-F13</f>
        <v>-2.220446049250313e-16</v>
      </c>
    </row>
    <row r="14" spans="1:7">
      <c r="A14" s="1">
        <v>50405</v>
      </c>
      <c r="B14">
        <v>16</v>
      </c>
      <c r="C14">
        <v>24525.77893699057</v>
      </c>
      <c r="D14">
        <v>20</v>
      </c>
      <c r="E14">
        <f>SUMPRODUCT(('5_dat_BASE_Inputs'!$C$12:$C$51&gt;=B14)*('5_dat_BASE_Inputs'!$C$12:$C$51&lt;=D14)*'5_dat_BASE_Inputs'!$L$12:$L$51/((1+'5_dat_BASE_Inputs'!$B$2)^(('5_dat_BASE_Inputs'!$A$12:$A$51-A14)/365)))/C14</f>
        <v>1.3387623462262974</v>
      </c>
      <c r="F14">
        <v>1.338762346226297</v>
      </c>
      <c r="G14">
        <f>E14-F14</f>
        <v>0.0</v>
      </c>
    </row>
    <row r="15" spans="1:7">
      <c r="A15" s="1">
        <v>50586</v>
      </c>
      <c r="B15">
        <v>17</v>
      </c>
      <c r="C15">
        <v>19918.1160006637</v>
      </c>
      <c r="D15">
        <v>20</v>
      </c>
      <c r="E15">
        <f>SUMPRODUCT(('5_dat_BASE_Inputs'!$C$12:$C$51&gt;=B15)*('5_dat_BASE_Inputs'!$C$12:$C$51&lt;=D15)*'5_dat_BASE_Inputs'!$L$12:$L$51/((1+'5_dat_BASE_Inputs'!$B$2)^(('5_dat_BASE_Inputs'!$A$12:$A$51-A15)/365)))/C15</f>
        <v>1.3437939318526393</v>
      </c>
      <c r="F15">
        <v>1.343793931852639</v>
      </c>
      <c r="G15">
        <f>E15-F15</f>
        <v>0.0</v>
      </c>
    </row>
    <row r="16" spans="1:7">
      <c r="A16" s="1">
        <v>50770</v>
      </c>
      <c r="B16">
        <v>18</v>
      </c>
      <c r="C16">
        <v>15092.78129703912</v>
      </c>
      <c r="D16">
        <v>20</v>
      </c>
      <c r="E16">
        <f>SUMPRODUCT(('5_dat_BASE_Inputs'!$C$12:$C$51&gt;=B16)*('5_dat_BASE_Inputs'!$C$12:$C$51&lt;=D16)*'5_dat_BASE_Inputs'!$L$12:$L$51/((1+'5_dat_BASE_Inputs'!$B$2)^(('5_dat_BASE_Inputs'!$A$12:$A$51-A16)/365)))/C16</f>
        <v>1.353700006199905</v>
      </c>
      <c r="F16">
        <v>1.353700006199905</v>
      </c>
      <c r="G16">
        <f>E16-F16</f>
        <v>0.0</v>
      </c>
    </row>
    <row r="17" spans="1:7">
      <c r="A17" s="1">
        <v>50951</v>
      </c>
      <c r="B17">
        <v>19</v>
      </c>
      <c r="C17">
        <v>10093.60578655519</v>
      </c>
      <c r="D17">
        <v>20</v>
      </c>
      <c r="E17">
        <f>SUMPRODUCT(('5_dat_BASE_Inputs'!$C$12:$C$51&gt;=B17)*('5_dat_BASE_Inputs'!$C$12:$C$51&lt;=D17)*'5_dat_BASE_Inputs'!$L$12:$L$51/((1+'5_dat_BASE_Inputs'!$B$2)^(('5_dat_BASE_Inputs'!$A$12:$A$51-A17)/365)))/C17</f>
        <v>1.3761186905939753</v>
      </c>
      <c r="F17">
        <v>1.376118690593975</v>
      </c>
      <c r="G17">
        <f>E17-F17</f>
        <v>0.0</v>
      </c>
    </row>
    <row r="18" spans="1:7">
      <c r="A18" s="1">
        <v>51135</v>
      </c>
      <c r="B18">
        <v>20</v>
      </c>
      <c r="C18">
        <v>4858.262964478378</v>
      </c>
      <c r="D18">
        <v>20</v>
      </c>
      <c r="E18">
        <f>SUMPRODUCT(('5_dat_BASE_Inputs'!$C$12:$C$51&gt;=B18)*('5_dat_BASE_Inputs'!$C$12:$C$51&lt;=D18)*'5_dat_BASE_Inputs'!$L$12:$L$51/((1+'5_dat_BASE_Inputs'!$B$2)^(('5_dat_BASE_Inputs'!$A$12:$A$51-A18)/365)))/C18</f>
        <v>1.4535354549726873</v>
      </c>
      <c r="F18">
        <v>1.453535454972688</v>
      </c>
      <c r="G18">
        <f>E18-F18</f>
        <v>-2.220446049250313e-16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51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6" width="21.7109375" customWidth="1"/>
  </cols>
  <sheetData>
    <row r="1" spans="1:16">
      <c r="A1" t="s">
        <v>12</v>
      </c>
      <c r="B1" t="s">
        <v>77</v>
      </c>
      <c r="C1" t="s">
        <v>78</v>
      </c>
    </row>
    <row r="2" spans="1:16">
      <c r="A2" t="s">
        <v>15</v>
      </c>
      <c r="B2">
        <v>0.055</v>
      </c>
    </row>
    <row r="3" spans="1:16">
      <c r="A3" t="s">
        <v>16</v>
      </c>
      <c r="B3" s="1">
        <v>48214</v>
      </c>
    </row>
    <row r="4" spans="1:16">
      <c r="A4" t="s">
        <v>17</v>
      </c>
      <c r="B4" s="1">
        <v>52596</v>
      </c>
    </row>
    <row r="5" spans="1:16">
      <c r="A5" t="s">
        <v>18</v>
      </c>
      <c r="B5" s="1">
        <v>51317</v>
      </c>
    </row>
    <row r="6" spans="1:16">
      <c r="A6" t="s">
        <v>19</v>
      </c>
      <c r="B6" s="1">
        <v>55518</v>
      </c>
    </row>
    <row r="8" spans="1:16">
      <c r="A8" t="s">
        <v>20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</row>
    <row r="12" spans="1:16">
      <c r="A12" s="1">
        <v>48395</v>
      </c>
      <c r="B12" s="1">
        <v>48214</v>
      </c>
      <c r="C12">
        <v>4</v>
      </c>
      <c r="D12">
        <v>2302.966338797814</v>
      </c>
      <c r="E12">
        <v>2302.966338797814</v>
      </c>
      <c r="F12">
        <v>2302.966338797814</v>
      </c>
      <c r="G12">
        <v>0</v>
      </c>
      <c r="H12">
        <v>0</v>
      </c>
      <c r="I12">
        <f>F12+G12-H12</f>
        <v>2302.9663387978144</v>
      </c>
      <c r="J12">
        <f>I12-D12</f>
        <v>0.0</v>
      </c>
      <c r="K12">
        <v>58410.96179501392</v>
      </c>
      <c r="L12">
        <f>E12</f>
        <v>2302.9663387978144</v>
      </c>
      <c r="M12">
        <f>(1+$B$2)^((A12-$B$3)/365)</f>
        <v>1.0269059536680807</v>
      </c>
      <c r="N12">
        <f>IF(A12&lt;=$B$4,L12/M12,0)</f>
        <v>2242.626338440906</v>
      </c>
      <c r="O12">
        <f>IF(A12&lt;=$B$5,L12/M12,0)</f>
        <v>2242.626338440906</v>
      </c>
      <c r="P12">
        <f>IF(A12&lt;=$B$6,L12/M12,0)</f>
        <v>2242.626338440906</v>
      </c>
    </row>
    <row r="13" spans="1:16">
      <c r="A13" s="1">
        <v>48579</v>
      </c>
      <c r="B13" s="1">
        <v>48395</v>
      </c>
      <c r="C13">
        <v>5</v>
      </c>
      <c r="D13">
        <v>2328.273661202185</v>
      </c>
      <c r="E13">
        <v>2328.273661202185</v>
      </c>
      <c r="F13">
        <v>2328.273661202185</v>
      </c>
      <c r="G13">
        <v>0</v>
      </c>
      <c r="H13">
        <v>0</v>
      </c>
      <c r="I13">
        <f>F13+G13-H13</f>
        <v>2328.2736612021854</v>
      </c>
      <c r="J13">
        <f>I13-D13</f>
        <v>0.0</v>
      </c>
      <c r="K13">
        <v>58401.5132408575</v>
      </c>
      <c r="L13">
        <f>E13</f>
        <v>2328.2736612021854</v>
      </c>
      <c r="M13">
        <f>(1+$B$2)^((A13-$B$3)/365)</f>
        <v>1.055</v>
      </c>
      <c r="N13">
        <f>IF(A13&lt;=$B$4,L13/M13,0)</f>
        <v>2206.894465594489</v>
      </c>
      <c r="O13">
        <f>IF(A13&lt;=$B$5,L13/M13,0)</f>
        <v>2206.894465594489</v>
      </c>
      <c r="P13">
        <f>IF(A13&lt;=$B$6,L13/M13,0)</f>
        <v>2206.894465594489</v>
      </c>
    </row>
    <row r="14" spans="1:16">
      <c r="A14" s="1">
        <v>48760</v>
      </c>
      <c r="B14" s="1">
        <v>48579</v>
      </c>
      <c r="C14">
        <v>6</v>
      </c>
      <c r="D14">
        <v>4319.480797808219</v>
      </c>
      <c r="E14">
        <v>4319.480797808219</v>
      </c>
      <c r="F14">
        <v>4319.480797808219</v>
      </c>
      <c r="G14">
        <v>0</v>
      </c>
      <c r="H14">
        <v>0</v>
      </c>
      <c r="I14">
        <f>F14+G14-H14</f>
        <v>4319.480797808219</v>
      </c>
      <c r="J14">
        <f>I14-D14</f>
        <v>0.0</v>
      </c>
      <c r="K14">
        <v>58401.5132408575</v>
      </c>
      <c r="L14">
        <f>E14</f>
        <v>4319.480797808219</v>
      </c>
      <c r="M14">
        <f>(1+$B$2)^((A14-$B$3)/365)</f>
        <v>1.083385781119825</v>
      </c>
      <c r="N14">
        <f>IF(A14&lt;=$B$4,L14/M14,0)</f>
        <v>3987.020019169399</v>
      </c>
      <c r="O14">
        <f>IF(A14&lt;=$B$5,L14/M14,0)</f>
        <v>3987.020019169399</v>
      </c>
      <c r="P14">
        <f>IF(A14&lt;=$B$6,L14/M14,0)</f>
        <v>3987.020019169399</v>
      </c>
    </row>
    <row r="15" spans="1:16">
      <c r="A15" s="1">
        <v>48944</v>
      </c>
      <c r="B15" s="1">
        <v>48760</v>
      </c>
      <c r="C15">
        <v>7</v>
      </c>
      <c r="D15">
        <v>4391.07440219178</v>
      </c>
      <c r="E15">
        <v>4391.07440219178</v>
      </c>
      <c r="F15">
        <v>4391.07440219178</v>
      </c>
      <c r="G15">
        <v>0</v>
      </c>
      <c r="H15">
        <v>0</v>
      </c>
      <c r="I15">
        <f>F15+G15-H15</f>
        <v>4391.07440219178</v>
      </c>
      <c r="J15">
        <f>I15-D15</f>
        <v>0.0</v>
      </c>
      <c r="K15">
        <v>56840.61468684782</v>
      </c>
      <c r="L15">
        <f>E15</f>
        <v>4391.07440219178</v>
      </c>
      <c r="M15">
        <f>(1+$B$2)^((A15-$B$3)/365)</f>
        <v>1.113025</v>
      </c>
      <c r="N15">
        <f>IF(A15&lt;=$B$4,L15/M15,0)</f>
        <v>3945.171404228818</v>
      </c>
      <c r="O15">
        <f>IF(A15&lt;=$B$5,L15/M15,0)</f>
        <v>3945.171404228818</v>
      </c>
      <c r="P15">
        <f>IF(A15&lt;=$B$6,L15/M15,0)</f>
        <v>3945.171404228818</v>
      </c>
    </row>
    <row r="16" spans="1:16">
      <c r="A16" s="1">
        <v>49125</v>
      </c>
      <c r="B16" s="1">
        <v>48944</v>
      </c>
      <c r="C16">
        <v>8</v>
      </c>
      <c r="D16">
        <v>6422.371185402741</v>
      </c>
      <c r="E16">
        <v>6422.371185402741</v>
      </c>
      <c r="F16">
        <v>6422.371185402741</v>
      </c>
      <c r="G16">
        <v>0</v>
      </c>
      <c r="H16">
        <v>0</v>
      </c>
      <c r="I16">
        <f>F16+G16-H16</f>
        <v>6422.371185402741</v>
      </c>
      <c r="J16">
        <f>I16-D16</f>
        <v>0.0</v>
      </c>
      <c r="K16">
        <v>55205.97733043029</v>
      </c>
      <c r="L16">
        <f>E16</f>
        <v>6422.371185402741</v>
      </c>
      <c r="M16">
        <f>(1+$B$2)^((A16-$B$3)/365)</f>
        <v>1.1429719990814153</v>
      </c>
      <c r="N16">
        <f>IF(A16&lt;=$B$4,L16/M16,0)</f>
        <v>5619.010081230579</v>
      </c>
      <c r="O16">
        <f>IF(A16&lt;=$B$5,L16/M16,0)</f>
        <v>5619.010081230579</v>
      </c>
      <c r="P16">
        <f>IF(A16&lt;=$B$6,L16/M16,0)</f>
        <v>5619.010081230579</v>
      </c>
    </row>
    <row r="17" spans="1:16">
      <c r="A17" s="1">
        <v>49309</v>
      </c>
      <c r="B17" s="1">
        <v>49125</v>
      </c>
      <c r="C17">
        <v>9</v>
      </c>
      <c r="D17">
        <v>6528.81932659726</v>
      </c>
      <c r="E17">
        <v>6528.81932659726</v>
      </c>
      <c r="F17">
        <v>6528.81932659726</v>
      </c>
      <c r="G17">
        <v>0</v>
      </c>
      <c r="H17">
        <v>0</v>
      </c>
      <c r="I17">
        <f>F17+G17-H17</f>
        <v>6528.81932659726</v>
      </c>
      <c r="J17">
        <f>I17-D17</f>
        <v>0.0</v>
      </c>
      <c r="K17">
        <v>51931.07211933206</v>
      </c>
      <c r="L17">
        <f>E17</f>
        <v>6528.81932659726</v>
      </c>
      <c r="M17">
        <f>(1+$B$2)^((A17-$B$3)/365)</f>
        <v>1.1742413749999998</v>
      </c>
      <c r="N17">
        <f>IF(A17&lt;=$B$4,L17/M17,0)</f>
        <v>5560.0317495176505</v>
      </c>
      <c r="O17">
        <f>IF(A17&lt;=$B$5,L17/M17,0)</f>
        <v>5560.0317495176505</v>
      </c>
      <c r="P17">
        <f>IF(A17&lt;=$B$6,L17/M17,0)</f>
        <v>5560.0317495176505</v>
      </c>
    </row>
    <row r="18" spans="1:16">
      <c r="A18" s="1">
        <v>49490</v>
      </c>
      <c r="B18" s="1">
        <v>49309</v>
      </c>
      <c r="C18">
        <v>10</v>
      </c>
      <c r="D18">
        <v>6550.818609110796</v>
      </c>
      <c r="E18">
        <v>6550.818609110796</v>
      </c>
      <c r="F18">
        <v>6550.818609110796</v>
      </c>
      <c r="G18">
        <v>0</v>
      </c>
      <c r="H18">
        <v>0</v>
      </c>
      <c r="I18">
        <f>F18+G18-H18</f>
        <v>6550.818609110796</v>
      </c>
      <c r="J18">
        <f>I18-D18</f>
        <v>0.0</v>
      </c>
      <c r="K18">
        <v>48501.45628489112</v>
      </c>
      <c r="L18">
        <f>E18</f>
        <v>6550.818609110796</v>
      </c>
      <c r="M18">
        <f>(1+$B$2)^((A18-$B$3)/365)</f>
        <v>1.205835459030893</v>
      </c>
      <c r="N18">
        <f>IF(A18&lt;=$B$4,L18/M18,0)</f>
        <v>5432.597424507291</v>
      </c>
      <c r="O18">
        <f>IF(A18&lt;=$B$5,L18/M18,0)</f>
        <v>5432.597424507291</v>
      </c>
      <c r="P18">
        <f>IF(A18&lt;=$B$6,L18/M18,0)</f>
        <v>5432.597424507291</v>
      </c>
    </row>
    <row r="19" spans="1:16">
      <c r="A19" s="1">
        <v>49674</v>
      </c>
      <c r="B19" s="1">
        <v>49490</v>
      </c>
      <c r="C19">
        <v>11</v>
      </c>
      <c r="D19">
        <v>6659.395713129206</v>
      </c>
      <c r="E19">
        <v>6659.395713129206</v>
      </c>
      <c r="F19">
        <v>6659.395713129206</v>
      </c>
      <c r="G19">
        <v>0</v>
      </c>
      <c r="H19">
        <v>0</v>
      </c>
      <c r="I19">
        <f>F19+G19-H19</f>
        <v>6659.395713129206</v>
      </c>
      <c r="J19">
        <f>I19-D19</f>
        <v>0.0</v>
      </c>
      <c r="K19">
        <v>44925.4923117078</v>
      </c>
      <c r="L19">
        <f>E19</f>
        <v>6659.395713129206</v>
      </c>
      <c r="M19">
        <f>(1+$B$2)^((A19-$B$3)/365)</f>
        <v>1.2388246506249998</v>
      </c>
      <c r="N19">
        <f>IF(A19&lt;=$B$4,L19/M19,0)</f>
        <v>5375.5757199128</v>
      </c>
      <c r="O19">
        <f>IF(A19&lt;=$B$5,L19/M19,0)</f>
        <v>5375.5757199128</v>
      </c>
      <c r="P19">
        <f>IF(A19&lt;=$B$6,L19/M19,0)</f>
        <v>5375.5757199128</v>
      </c>
    </row>
    <row r="20" spans="1:16">
      <c r="A20" s="1">
        <v>49856</v>
      </c>
      <c r="B20" s="1">
        <v>49674</v>
      </c>
      <c r="C20">
        <v>12</v>
      </c>
      <c r="D20">
        <v>6700.393952952551</v>
      </c>
      <c r="E20">
        <v>6700.393952952551</v>
      </c>
      <c r="F20">
        <v>6700.393952952551</v>
      </c>
      <c r="G20">
        <v>0</v>
      </c>
      <c r="H20">
        <v>0</v>
      </c>
      <c r="I20">
        <f>F20+G20-H20</f>
        <v>6700.3939529525505</v>
      </c>
      <c r="J20">
        <f>I20-D20</f>
        <v>0.0</v>
      </c>
      <c r="K20">
        <v>41180.59532224437</v>
      </c>
      <c r="L20">
        <f>E20</f>
        <v>6700.3939529525505</v>
      </c>
      <c r="M20">
        <f>(1+$B$2)^((A20-$B$3)/365)</f>
        <v>1.2723430318135918</v>
      </c>
      <c r="N20">
        <f>IF(A20&lt;=$B$4,L20/M20,0)</f>
        <v>5266.1851288656335</v>
      </c>
      <c r="O20">
        <f>IF(A20&lt;=$B$5,L20/M20,0)</f>
        <v>5266.1851288656335</v>
      </c>
      <c r="P20">
        <f>IF(A20&lt;=$B$6,L20/M20,0)</f>
        <v>5266.1851288656335</v>
      </c>
    </row>
    <row r="21" spans="1:16">
      <c r="A21" s="1">
        <v>50040</v>
      </c>
      <c r="B21" s="1">
        <v>49856</v>
      </c>
      <c r="C21">
        <v>13</v>
      </c>
      <c r="D21">
        <v>6774.024655732248</v>
      </c>
      <c r="E21">
        <v>6774.024655732248</v>
      </c>
      <c r="F21">
        <v>6774.024655732248</v>
      </c>
      <c r="G21">
        <v>0</v>
      </c>
      <c r="H21">
        <v>0</v>
      </c>
      <c r="I21">
        <f>F21+G21-H21</f>
        <v>6774.024655732248</v>
      </c>
      <c r="J21">
        <f>I21-D21</f>
        <v>0.0</v>
      </c>
      <c r="K21">
        <v>37275.59085244023</v>
      </c>
      <c r="L21">
        <f>E21</f>
        <v>6774.024655732248</v>
      </c>
      <c r="M21">
        <f>(1+$B$2)^((A21-$B$3)/365)</f>
        <v>1.3071517345562182</v>
      </c>
      <c r="N21">
        <f>IF(A21&lt;=$B$4,L21/M21,0)</f>
        <v>5182.278749017649</v>
      </c>
      <c r="O21">
        <f>IF(A21&lt;=$B$5,L21/M21,0)</f>
        <v>5182.278749017649</v>
      </c>
      <c r="P21">
        <f>IF(A21&lt;=$B$6,L21/M21,0)</f>
        <v>5182.278749017649</v>
      </c>
    </row>
    <row r="22" spans="1:16">
      <c r="A22" s="1">
        <v>50221</v>
      </c>
      <c r="B22" s="1">
        <v>50040</v>
      </c>
      <c r="C22">
        <v>14</v>
      </c>
      <c r="D22">
        <v>6815.471680918872</v>
      </c>
      <c r="E22">
        <v>6815.471680918872</v>
      </c>
      <c r="F22">
        <v>6815.471680918872</v>
      </c>
      <c r="G22">
        <v>0</v>
      </c>
      <c r="H22">
        <v>0</v>
      </c>
      <c r="I22">
        <f>F22+G22-H22</f>
        <v>6815.471680918872</v>
      </c>
      <c r="J22">
        <f>I22-D22</f>
        <v>0.0</v>
      </c>
      <c r="K22">
        <v>33207.92077519796</v>
      </c>
      <c r="L22">
        <f>E22</f>
        <v>6815.471680918872</v>
      </c>
      <c r="M22">
        <f>(1+$B$2)^((A22-$B$3)/365)</f>
        <v>1.3423218985633392</v>
      </c>
      <c r="N22">
        <f>IF(A22&lt;=$B$4,L22/M22,0)</f>
        <v>5077.3750232439315</v>
      </c>
      <c r="O22">
        <f>IF(A22&lt;=$B$5,L22/M22,0)</f>
        <v>5077.3750232439315</v>
      </c>
      <c r="P22">
        <f>IF(A22&lt;=$B$6,L22/M22,0)</f>
        <v>5077.3750232439315</v>
      </c>
    </row>
    <row r="23" spans="1:16">
      <c r="A23" s="1">
        <v>50405</v>
      </c>
      <c r="B23" s="1">
        <v>50221</v>
      </c>
      <c r="C23">
        <v>15</v>
      </c>
      <c r="D23">
        <v>6928.435299939627</v>
      </c>
      <c r="E23">
        <v>6928.435299939627</v>
      </c>
      <c r="F23">
        <v>6928.435299939627</v>
      </c>
      <c r="G23">
        <v>0</v>
      </c>
      <c r="H23">
        <v>0</v>
      </c>
      <c r="I23">
        <f>F23+G23-H23</f>
        <v>6928.435299939627</v>
      </c>
      <c r="J23">
        <f>I23-D23</f>
        <v>0.0</v>
      </c>
      <c r="K23">
        <v>28967.02252813268</v>
      </c>
      <c r="L23">
        <f>E23</f>
        <v>6928.435299939627</v>
      </c>
      <c r="M23">
        <f>(1+$B$2)^((A23-$B$3)/365)</f>
        <v>1.3790450799568101</v>
      </c>
      <c r="N23">
        <f>IF(A23&lt;=$B$4,L23/M23,0)</f>
        <v>5024.081808954799</v>
      </c>
      <c r="O23">
        <f>IF(A23&lt;=$B$5,L23/M23,0)</f>
        <v>5024.081808954799</v>
      </c>
      <c r="P23">
        <f>IF(A23&lt;=$B$6,L23/M23,0)</f>
        <v>5024.081808954799</v>
      </c>
    </row>
    <row r="24" spans="1:16">
      <c r="A24" s="1">
        <v>50586</v>
      </c>
      <c r="B24" s="1">
        <v>50405</v>
      </c>
      <c r="C24">
        <v>16</v>
      </c>
      <c r="D24">
        <v>6951.781114537245</v>
      </c>
      <c r="E24">
        <v>6951.781114537245</v>
      </c>
      <c r="F24">
        <v>6951.781114537245</v>
      </c>
      <c r="G24">
        <v>0</v>
      </c>
      <c r="H24">
        <v>0</v>
      </c>
      <c r="I24">
        <f>F24+G24-H24</f>
        <v>6951.781114537245</v>
      </c>
      <c r="J24">
        <f>I24-D24</f>
        <v>0.0</v>
      </c>
      <c r="K24">
        <v>24525.77893699057</v>
      </c>
      <c r="L24">
        <f>E24</f>
        <v>6951.781114537245</v>
      </c>
      <c r="M24">
        <f>(1+$B$2)^((A24-$B$3)/365)</f>
        <v>1.4161496029843228</v>
      </c>
      <c r="N24">
        <f>IF(A24&lt;=$B$4,L24/M24,0)</f>
        <v>4908.931302093656</v>
      </c>
      <c r="O24">
        <f>IF(A24&lt;=$B$5,L24/M24,0)</f>
        <v>4908.931302093656</v>
      </c>
      <c r="P24">
        <f>IF(A24&lt;=$B$6,L24/M24,0)</f>
        <v>4908.931302093656</v>
      </c>
    </row>
    <row r="25" spans="1:16">
      <c r="A25" s="1">
        <v>50770</v>
      </c>
      <c r="B25" s="1">
        <v>50586</v>
      </c>
      <c r="C25">
        <v>17</v>
      </c>
      <c r="D25">
        <v>7067.004005938419</v>
      </c>
      <c r="E25">
        <v>7067.004005938419</v>
      </c>
      <c r="F25">
        <v>7067.004005938419</v>
      </c>
      <c r="G25">
        <v>0</v>
      </c>
      <c r="H25">
        <v>0</v>
      </c>
      <c r="I25">
        <f>F25+G25-H25</f>
        <v>7067.004005938419</v>
      </c>
      <c r="J25">
        <f>I25-D25</f>
        <v>0.0</v>
      </c>
      <c r="K25">
        <v>19918.1160006637</v>
      </c>
      <c r="L25">
        <f>E25</f>
        <v>7067.004005938419</v>
      </c>
      <c r="M25">
        <f>(1+$B$2)^((A25-$B$3)/365)</f>
        <v>1.4548925593544346</v>
      </c>
      <c r="N25">
        <f>IF(A25&lt;=$B$4,L25/M25,0)</f>
        <v>4857.406109131654</v>
      </c>
      <c r="O25">
        <f>IF(A25&lt;=$B$5,L25/M25,0)</f>
        <v>4857.406109131654</v>
      </c>
      <c r="P25">
        <f>IF(A25&lt;=$B$6,L25/M25,0)</f>
        <v>4857.406109131654</v>
      </c>
    </row>
    <row r="26" spans="1:16">
      <c r="A26" s="1">
        <v>50951</v>
      </c>
      <c r="B26" s="1">
        <v>50770</v>
      </c>
      <c r="C26">
        <v>18</v>
      </c>
      <c r="D26">
        <v>7090.816736827996</v>
      </c>
      <c r="E26">
        <v>7090.816736827996</v>
      </c>
      <c r="F26">
        <v>7090.816736827996</v>
      </c>
      <c r="G26">
        <v>0</v>
      </c>
      <c r="H26">
        <v>0</v>
      </c>
      <c r="I26">
        <f>F26+G26-H26</f>
        <v>7090.816736827996</v>
      </c>
      <c r="J26">
        <f>I26-D26</f>
        <v>0.0</v>
      </c>
      <c r="K26">
        <v>15092.78129703912</v>
      </c>
      <c r="L26">
        <f>E26</f>
        <v>7090.816736827996</v>
      </c>
      <c r="M26">
        <f>(1+$B$2)^((A26-$B$3)/365)</f>
        <v>1.4940378311484603</v>
      </c>
      <c r="N26">
        <f>IF(A26&lt;=$B$4,L26/M26,0)</f>
        <v>4746.075761265908</v>
      </c>
      <c r="O26">
        <f>IF(A26&lt;=$B$5,L26/M26,0)</f>
        <v>4746.075761265908</v>
      </c>
      <c r="P26">
        <f>IF(A26&lt;=$B$6,L26/M26,0)</f>
        <v>4746.075761265908</v>
      </c>
    </row>
    <row r="27" spans="1:16">
      <c r="A27" s="1">
        <v>51135</v>
      </c>
      <c r="B27" s="1">
        <v>50951</v>
      </c>
      <c r="C27">
        <v>19</v>
      </c>
      <c r="D27">
        <v>7208.344086057186</v>
      </c>
      <c r="E27">
        <v>7208.344086057186</v>
      </c>
      <c r="F27">
        <v>7208.344086057186</v>
      </c>
      <c r="G27">
        <v>0</v>
      </c>
      <c r="H27">
        <v>0</v>
      </c>
      <c r="I27">
        <f>F27+G27-H27</f>
        <v>7208.344086057186</v>
      </c>
      <c r="J27">
        <f>I27-D27</f>
        <v>0.0</v>
      </c>
      <c r="K27">
        <v>10093.60578655519</v>
      </c>
      <c r="L27">
        <f>E27</f>
        <v>7208.344086057186</v>
      </c>
      <c r="M27">
        <f>(1+$B$2)^((A27-$B$3)/365)</f>
        <v>1.5349116501189284</v>
      </c>
      <c r="N27">
        <f>IF(A27&lt;=$B$4,L27/M27,0)</f>
        <v>4696.259934895059</v>
      </c>
      <c r="O27">
        <f>IF(A27&lt;=$B$5,L27/M27,0)</f>
        <v>4696.259934895059</v>
      </c>
      <c r="P27">
        <f>IF(A27&lt;=$B$6,L27/M27,0)</f>
        <v>4696.259934895059</v>
      </c>
    </row>
    <row r="28" spans="1:16">
      <c r="A28" s="1">
        <v>51317</v>
      </c>
      <c r="B28" s="1">
        <v>51135</v>
      </c>
      <c r="C28">
        <v>20</v>
      </c>
      <c r="D28">
        <v>7252.72189934537</v>
      </c>
      <c r="E28">
        <v>7252.72189934537</v>
      </c>
      <c r="F28">
        <v>7252.72189934537</v>
      </c>
      <c r="G28">
        <v>0</v>
      </c>
      <c r="H28">
        <v>0</v>
      </c>
      <c r="I28">
        <f>F28+G28-H28</f>
        <v>7252.72189934537</v>
      </c>
      <c r="J28">
        <f>I28-D28</f>
        <v>0.0</v>
      </c>
      <c r="K28">
        <v>4858.262964478378</v>
      </c>
      <c r="L28">
        <f>E28</f>
        <v>7252.72189934537</v>
      </c>
      <c r="M28">
        <f>(1+$B$2)^((A28-$B$3)/365)</f>
        <v>1.5764411383750276</v>
      </c>
      <c r="N28">
        <f>IF(A28&lt;=$B$4,L28/M28,0)</f>
        <v>4600.693119960933</v>
      </c>
      <c r="O28">
        <f>IF(A28&lt;=$B$5,L28/M28,0)</f>
        <v>4600.693119960933</v>
      </c>
      <c r="P28">
        <f>IF(A28&lt;=$B$6,L28/M28,0)</f>
        <v>4600.693119960933</v>
      </c>
    </row>
    <row r="29" spans="1:16">
      <c r="A29" s="1">
        <v>51501</v>
      </c>
      <c r="B29" s="1">
        <v>51317</v>
      </c>
      <c r="C29">
        <v>21</v>
      </c>
      <c r="D29">
        <v>7332.422139997519</v>
      </c>
      <c r="E29">
        <v>7332.422139997519</v>
      </c>
      <c r="F29">
        <v>7332.422139997519</v>
      </c>
      <c r="G29">
        <v>0</v>
      </c>
      <c r="H29">
        <v>0</v>
      </c>
      <c r="I29">
        <f>F29+G29-H29</f>
        <v>7332.4221399975195</v>
      </c>
      <c r="J29">
        <f>I29-D29</f>
        <v>0.0</v>
      </c>
      <c r="K29">
        <v>0</v>
      </c>
      <c r="L29">
        <f>E29</f>
        <v>7332.4221399975195</v>
      </c>
      <c r="M29">
        <f>(1+$B$2)^((A29-$B$3)/365)</f>
        <v>1.619569343273299</v>
      </c>
      <c r="N29">
        <f>IF(A29&lt;=$B$4,L29/M29,0)</f>
        <v>4527.3900561602495</v>
      </c>
      <c r="O29">
        <f>IF(A29&lt;=$B$5,L29/M29,0)</f>
        <v>0</v>
      </c>
      <c r="P29">
        <f>IF(A29&lt;=$B$6,L29/M29,0)</f>
        <v>4527.3900561602495</v>
      </c>
    </row>
    <row r="30" spans="1:16">
      <c r="A30" s="1">
        <v>51682</v>
      </c>
      <c r="B30" s="1">
        <v>51501</v>
      </c>
      <c r="C30">
        <v>22</v>
      </c>
      <c r="D30">
        <v>7377.285732995844</v>
      </c>
      <c r="E30">
        <v>7377.285732995844</v>
      </c>
      <c r="F30">
        <v>7377.285732995844</v>
      </c>
      <c r="G30">
        <v>0</v>
      </c>
      <c r="H30">
        <v>0</v>
      </c>
      <c r="I30">
        <f>F30+G30-H30</f>
        <v>7377.285732995844</v>
      </c>
      <c r="J30">
        <f>I30-D30</f>
        <v>0.0</v>
      </c>
      <c r="K30">
        <v>0</v>
      </c>
      <c r="L30">
        <f>E30</f>
        <v>7377.285732995844</v>
      </c>
      <c r="M30">
        <f>(1+$B$2)^((A30-$B$3)/365)</f>
        <v>1.6631454009856539</v>
      </c>
      <c r="N30">
        <f>IF(A30&lt;=$B$4,L30/M30,0)</f>
        <v>4435.743097761469</v>
      </c>
      <c r="O30">
        <f>IF(A30&lt;=$B$5,L30/M30,0)</f>
        <v>0</v>
      </c>
      <c r="P30">
        <f>IF(A30&lt;=$B$6,L30/M30,0)</f>
        <v>4435.743097761469</v>
      </c>
    </row>
    <row r="31" spans="1:16">
      <c r="A31" s="1">
        <v>51866</v>
      </c>
      <c r="B31" s="1">
        <v>51682</v>
      </c>
      <c r="C31">
        <v>23</v>
      </c>
      <c r="D31">
        <v>7499.561187133899</v>
      </c>
      <c r="E31">
        <v>7499.561187133899</v>
      </c>
      <c r="F31">
        <v>7499.561187133899</v>
      </c>
      <c r="G31">
        <v>0</v>
      </c>
      <c r="H31">
        <v>0</v>
      </c>
      <c r="I31">
        <f>F31+G31-H31</f>
        <v>7499.561187133899</v>
      </c>
      <c r="J31">
        <f>I31-D31</f>
        <v>0.0</v>
      </c>
      <c r="K31">
        <v>0</v>
      </c>
      <c r="L31">
        <f>E31</f>
        <v>7499.561187133899</v>
      </c>
      <c r="M31">
        <f>(1+$B$2)^((A31-$B$3)/365)</f>
        <v>1.7086456571533302</v>
      </c>
      <c r="N31">
        <f>IF(A31&lt;=$B$4,L31/M31,0)</f>
        <v>4389.184589406594</v>
      </c>
      <c r="O31">
        <f>IF(A31&lt;=$B$5,L31/M31,0)</f>
        <v>0</v>
      </c>
      <c r="P31">
        <f>IF(A31&lt;=$B$6,L31/M31,0)</f>
        <v>4389.184589406594</v>
      </c>
    </row>
    <row r="32" spans="1:16">
      <c r="A32" s="1">
        <v>52047</v>
      </c>
      <c r="B32" s="1">
        <v>51866</v>
      </c>
      <c r="C32">
        <v>24</v>
      </c>
      <c r="D32">
        <v>7524.831447655766</v>
      </c>
      <c r="E32">
        <v>7524.831447655766</v>
      </c>
      <c r="F32">
        <v>7524.831447655766</v>
      </c>
      <c r="G32">
        <v>0</v>
      </c>
      <c r="H32">
        <v>0</v>
      </c>
      <c r="I32">
        <f>F32+G32-H32</f>
        <v>7524.831447655766</v>
      </c>
      <c r="J32">
        <f>I32-D32</f>
        <v>0.0</v>
      </c>
      <c r="K32">
        <v>0</v>
      </c>
      <c r="L32">
        <f>E32</f>
        <v>7524.831447655766</v>
      </c>
      <c r="M32">
        <f>(1+$B$2)^((A32-$B$3)/365)</f>
        <v>1.7546183980398649</v>
      </c>
      <c r="N32">
        <f>IF(A32&lt;=$B$4,L32/M32,0)</f>
        <v>4288.5857438073</v>
      </c>
      <c r="O32">
        <f>IF(A32&lt;=$B$5,L32/M32,0)</f>
        <v>0</v>
      </c>
      <c r="P32">
        <f>IF(A32&lt;=$B$6,L32/M32,0)</f>
        <v>4288.5857438073</v>
      </c>
    </row>
    <row r="33" spans="1:16">
      <c r="A33" s="1">
        <v>52231</v>
      </c>
      <c r="B33" s="1">
        <v>52047</v>
      </c>
      <c r="C33">
        <v>25</v>
      </c>
      <c r="D33">
        <v>7649.552410876579</v>
      </c>
      <c r="E33">
        <v>7649.552410876579</v>
      </c>
      <c r="F33">
        <v>7649.552410876579</v>
      </c>
      <c r="G33">
        <v>0</v>
      </c>
      <c r="H33">
        <v>0</v>
      </c>
      <c r="I33">
        <f>F33+G33-H33</f>
        <v>7649.5524108765785</v>
      </c>
      <c r="J33">
        <f>I33-D33</f>
        <v>0.0</v>
      </c>
      <c r="K33">
        <v>0</v>
      </c>
      <c r="L33">
        <f>E33</f>
        <v>7649.5524108765785</v>
      </c>
      <c r="M33">
        <f>(1+$B$2)^((A33-$B$3)/365)</f>
        <v>1.8026211682967632</v>
      </c>
      <c r="N33">
        <f>IF(A33&lt;=$B$4,L33/M33,0)</f>
        <v>4243.571830516329</v>
      </c>
      <c r="O33">
        <f>IF(A33&lt;=$B$5,L33/M33,0)</f>
        <v>0</v>
      </c>
      <c r="P33">
        <f>IF(A33&lt;=$B$6,L33/M33,0)</f>
        <v>4243.571830516329</v>
      </c>
    </row>
    <row r="34" spans="1:16">
      <c r="A34" s="1">
        <v>52412</v>
      </c>
      <c r="B34" s="1">
        <v>52231</v>
      </c>
      <c r="C34">
        <v>26</v>
      </c>
      <c r="D34">
        <v>7675.328076608879</v>
      </c>
      <c r="E34">
        <v>7675.328076608879</v>
      </c>
      <c r="F34">
        <v>7675.328076608879</v>
      </c>
      <c r="G34">
        <v>0</v>
      </c>
      <c r="H34">
        <v>0</v>
      </c>
      <c r="I34">
        <f>F34+G34-H34</f>
        <v>7675.328076608879</v>
      </c>
      <c r="J34">
        <f>I34-D34</f>
        <v>0.0</v>
      </c>
      <c r="K34">
        <v>0</v>
      </c>
      <c r="L34">
        <f>E34</f>
        <v>7675.328076608879</v>
      </c>
      <c r="M34">
        <f>(1+$B$2)^((A34-$B$3)/365)</f>
        <v>1.8511224099320573</v>
      </c>
      <c r="N34">
        <f>IF(A34&lt;=$B$4,L34/M34,0)</f>
        <v>4146.310387377673</v>
      </c>
      <c r="O34">
        <f>IF(A34&lt;=$B$5,L34/M34,0)</f>
        <v>0</v>
      </c>
      <c r="P34">
        <f>IF(A34&lt;=$B$6,L34/M34,0)</f>
        <v>4146.310387377673</v>
      </c>
    </row>
    <row r="35" spans="1:16">
      <c r="A35" s="1">
        <v>52596</v>
      </c>
      <c r="B35" s="1">
        <v>52412</v>
      </c>
      <c r="C35">
        <v>27</v>
      </c>
      <c r="D35">
        <v>7802.543459094108</v>
      </c>
      <c r="E35">
        <v>7802.543459094108</v>
      </c>
      <c r="F35">
        <v>7802.543459094108</v>
      </c>
      <c r="G35">
        <v>0</v>
      </c>
      <c r="H35">
        <v>0</v>
      </c>
      <c r="I35">
        <f>F35+G35-H35</f>
        <v>7802.543459094108</v>
      </c>
      <c r="J35">
        <f>I35-D35</f>
        <v>0.0</v>
      </c>
      <c r="K35">
        <v>0</v>
      </c>
      <c r="L35">
        <f>E35</f>
        <v>7802.543459094108</v>
      </c>
      <c r="M35">
        <f>(1+$B$2)^((A35-$B$3)/365)</f>
        <v>1.9017653325530852</v>
      </c>
      <c r="N35">
        <f>IF(A35&lt;=$B$4,L35/M35,0)</f>
        <v>4102.789826660335</v>
      </c>
      <c r="O35">
        <f>IF(A35&lt;=$B$5,L35/M35,0)</f>
        <v>0</v>
      </c>
      <c r="P35">
        <f>IF(A35&lt;=$B$6,L35/M35,0)</f>
        <v>4102.789826660335</v>
      </c>
    </row>
    <row r="36" spans="1:16">
      <c r="A36" s="1">
        <v>52778</v>
      </c>
      <c r="B36" s="1">
        <v>52596</v>
      </c>
      <c r="C36">
        <v>28</v>
      </c>
      <c r="D36">
        <v>7850.579431387709</v>
      </c>
      <c r="E36">
        <v>7850.579431387709</v>
      </c>
      <c r="F36">
        <v>7850.579431387709</v>
      </c>
      <c r="G36">
        <v>0</v>
      </c>
      <c r="H36">
        <v>0</v>
      </c>
      <c r="I36">
        <f>F36+G36-H36</f>
        <v>7850.579431387709</v>
      </c>
      <c r="J36">
        <f>I36-D36</f>
        <v>0.0</v>
      </c>
      <c r="L36">
        <f>E36</f>
        <v>7850.579431387709</v>
      </c>
      <c r="M36">
        <f>(1+$B$2)^((A36-$B$3)/365)</f>
        <v>1.953220633604452</v>
      </c>
      <c r="N36">
        <f>IF(A36&lt;=$B$4,L36/M36,0)</f>
        <v>0</v>
      </c>
      <c r="O36">
        <f>IF(A36&lt;=$B$5,L36/M36,0)</f>
        <v>0</v>
      </c>
      <c r="P36">
        <f>IF(A36&lt;=$B$6,L36/M36,0)</f>
        <v>4019.299866242113</v>
      </c>
    </row>
    <row r="37" spans="1:16">
      <c r="A37" s="1">
        <v>52962</v>
      </c>
      <c r="B37" s="1">
        <v>52778</v>
      </c>
      <c r="C37">
        <v>29</v>
      </c>
      <c r="D37">
        <v>7936.849535029334</v>
      </c>
      <c r="E37">
        <v>7936.849535029334</v>
      </c>
      <c r="F37">
        <v>7936.849535029334</v>
      </c>
      <c r="G37">
        <v>0</v>
      </c>
      <c r="H37">
        <v>0</v>
      </c>
      <c r="I37">
        <f>F37+G37-H37</f>
        <v>7936.849535029334</v>
      </c>
      <c r="J37">
        <f>I37-D37</f>
        <v>0.0</v>
      </c>
      <c r="L37">
        <f>E37</f>
        <v>7936.849535029334</v>
      </c>
      <c r="M37">
        <f>(1+$B$2)^((A37-$B$3)/365)</f>
        <v>2.0066567547808227</v>
      </c>
      <c r="N37">
        <f>IF(A37&lt;=$B$4,L37/M37,0)</f>
        <v>0</v>
      </c>
      <c r="O37">
        <f>IF(A37&lt;=$B$5,L37/M37,0)</f>
        <v>0</v>
      </c>
      <c r="P37">
        <f>IF(A37&lt;=$B$6,L37/M37,0)</f>
        <v>3955.2601689949897</v>
      </c>
    </row>
    <row r="38" spans="1:16">
      <c r="A38" s="1">
        <v>53143</v>
      </c>
      <c r="B38" s="1">
        <v>52962</v>
      </c>
      <c r="C38">
        <v>30</v>
      </c>
      <c r="D38">
        <v>7985.411330903877</v>
      </c>
      <c r="E38">
        <v>7985.411330903877</v>
      </c>
      <c r="F38">
        <v>7985.411330903877</v>
      </c>
      <c r="G38">
        <v>0</v>
      </c>
      <c r="H38">
        <v>0</v>
      </c>
      <c r="I38">
        <f>F38+G38-H38</f>
        <v>7985.411330903877</v>
      </c>
      <c r="J38">
        <f>I38-D38</f>
        <v>0.0</v>
      </c>
      <c r="L38">
        <f>E38</f>
        <v>7985.411330903877</v>
      </c>
      <c r="M38">
        <f>(1+$B$2)^((A38-$B$3)/365)</f>
        <v>2.060647768452697</v>
      </c>
      <c r="N38">
        <f>IF(A38&lt;=$B$4,L38/M38,0)</f>
        <v>0</v>
      </c>
      <c r="O38">
        <f>IF(A38&lt;=$B$5,L38/M38,0)</f>
        <v>0</v>
      </c>
      <c r="P38">
        <f>IF(A38&lt;=$B$6,L38/M38,0)</f>
        <v>3875.194709719836</v>
      </c>
    </row>
    <row r="39" spans="1:16">
      <c r="A39" s="1">
        <v>53327</v>
      </c>
      <c r="B39" s="1">
        <v>53143</v>
      </c>
      <c r="C39">
        <v>31</v>
      </c>
      <c r="D39">
        <v>8117.766214841513</v>
      </c>
      <c r="E39">
        <v>8117.766214841513</v>
      </c>
      <c r="F39">
        <v>8117.766214841513</v>
      </c>
      <c r="G39">
        <v>0</v>
      </c>
      <c r="H39">
        <v>0</v>
      </c>
      <c r="I39">
        <f>F39+G39-H39</f>
        <v>8117.766214841513</v>
      </c>
      <c r="J39">
        <f>I39-D39</f>
        <v>0.0</v>
      </c>
      <c r="L39">
        <f>E39</f>
        <v>8117.766214841513</v>
      </c>
      <c r="M39">
        <f>(1+$B$2)^((A39-$B$3)/365)</f>
        <v>2.1170228762937677</v>
      </c>
      <c r="N39">
        <f>IF(A39&lt;=$B$4,L39/M39,0)</f>
        <v>0</v>
      </c>
      <c r="O39">
        <f>IF(A39&lt;=$B$5,L39/M39,0)</f>
        <v>0</v>
      </c>
      <c r="P39">
        <f>IF(A39&lt;=$B$6,L39/M39,0)</f>
        <v>3834.5198371465567</v>
      </c>
    </row>
    <row r="40" spans="1:16">
      <c r="A40" s="1">
        <v>53508</v>
      </c>
      <c r="B40" s="1">
        <v>53327</v>
      </c>
      <c r="C40">
        <v>32</v>
      </c>
      <c r="D40">
        <v>8145.119557521959</v>
      </c>
      <c r="E40">
        <v>8145.119557521959</v>
      </c>
      <c r="F40">
        <v>8145.119557521959</v>
      </c>
      <c r="G40">
        <v>0</v>
      </c>
      <c r="H40">
        <v>0</v>
      </c>
      <c r="I40">
        <f>F40+G40-H40</f>
        <v>8145.119557521959</v>
      </c>
      <c r="J40">
        <f>I40-D40</f>
        <v>0.0</v>
      </c>
      <c r="L40">
        <f>E40</f>
        <v>8145.119557521959</v>
      </c>
      <c r="M40">
        <f>(1+$B$2)^((A40-$B$3)/365)</f>
        <v>2.173983395717595</v>
      </c>
      <c r="N40">
        <f>IF(A40&lt;=$B$4,L40/M40,0)</f>
        <v>0</v>
      </c>
      <c r="O40">
        <f>IF(A40&lt;=$B$5,L40/M40,0)</f>
        <v>0</v>
      </c>
      <c r="P40">
        <f>IF(A40&lt;=$B$6,L40/M40,0)</f>
        <v>3746.633747786005</v>
      </c>
    </row>
    <row r="41" spans="1:16">
      <c r="A41" s="1">
        <v>53692</v>
      </c>
      <c r="B41" s="1">
        <v>53508</v>
      </c>
      <c r="C41">
        <v>33</v>
      </c>
      <c r="D41">
        <v>8083.526900962001</v>
      </c>
      <c r="E41">
        <v>8083.526900962001</v>
      </c>
      <c r="F41">
        <v>8280.121539138341</v>
      </c>
      <c r="G41">
        <v>0</v>
      </c>
      <c r="H41">
        <v>196.5946381763408</v>
      </c>
      <c r="I41">
        <f>F41+G41-H41</f>
        <v>8083.526900962001</v>
      </c>
      <c r="J41">
        <f>I41-D41</f>
        <v>0.0</v>
      </c>
      <c r="L41">
        <f>E41</f>
        <v>8083.526900962001</v>
      </c>
      <c r="M41">
        <f>(1+$B$2)^((A41-$B$3)/365)</f>
        <v>2.233459134489925</v>
      </c>
      <c r="N41">
        <f>IF(A41&lt;=$B$4,L41/M41,0)</f>
        <v>0</v>
      </c>
      <c r="O41">
        <f>IF(A41&lt;=$B$5,L41/M41,0)</f>
        <v>0</v>
      </c>
      <c r="P41">
        <f>IF(A41&lt;=$B$6,L41/M41,0)</f>
        <v>3619.285786846558</v>
      </c>
    </row>
    <row r="42" spans="1:16">
      <c r="A42" s="1">
        <v>53873</v>
      </c>
      <c r="B42" s="1">
        <v>53692</v>
      </c>
      <c r="C42">
        <v>34</v>
      </c>
      <c r="D42">
        <v>8308.021948672393</v>
      </c>
      <c r="E42">
        <v>8308.021948672393</v>
      </c>
      <c r="F42">
        <v>8308.021948672393</v>
      </c>
      <c r="G42">
        <v>0</v>
      </c>
      <c r="H42">
        <v>0</v>
      </c>
      <c r="I42">
        <f>F42+G42-H42</f>
        <v>8308.021948672393</v>
      </c>
      <c r="J42">
        <f>I42-D42</f>
        <v>0.0</v>
      </c>
      <c r="L42">
        <f>E42</f>
        <v>8308.021948672393</v>
      </c>
      <c r="M42">
        <f>(1+$B$2)^((A42-$B$3)/365)</f>
        <v>2.2935524824820623</v>
      </c>
      <c r="N42">
        <f>IF(A42&lt;=$B$4,L42/M42,0)</f>
        <v>0</v>
      </c>
      <c r="O42">
        <f>IF(A42&lt;=$B$5,L42/M42,0)</f>
        <v>0</v>
      </c>
      <c r="P42">
        <f>IF(A42&lt;=$B$6,L42/M42,0)</f>
        <v>3622.3378414613494</v>
      </c>
    </row>
    <row r="43" spans="1:16">
      <c r="A43" s="1">
        <v>54057</v>
      </c>
      <c r="B43" s="1">
        <v>53873</v>
      </c>
      <c r="C43">
        <v>35</v>
      </c>
      <c r="D43">
        <v>6016.346998842168</v>
      </c>
      <c r="E43">
        <v>6016.346998842168</v>
      </c>
      <c r="F43">
        <v>8445.723969921106</v>
      </c>
      <c r="G43">
        <v>0</v>
      </c>
      <c r="H43">
        <v>2429.376971078938</v>
      </c>
      <c r="I43">
        <f>F43+G43-H43</f>
        <v>6016.3469988421675</v>
      </c>
      <c r="J43">
        <f>I43-D43</f>
        <v>0.0</v>
      </c>
      <c r="L43">
        <f>E43</f>
        <v>6016.3469988421675</v>
      </c>
      <c r="M43">
        <f>(1+$B$2)^((A43-$B$3)/365)</f>
        <v>2.356299386886871</v>
      </c>
      <c r="N43">
        <f>IF(A43&lt;=$B$4,L43/M43,0)</f>
        <v>0</v>
      </c>
      <c r="O43">
        <f>IF(A43&lt;=$B$5,L43/M43,0)</f>
        <v>0</v>
      </c>
      <c r="P43">
        <f>IF(A43&lt;=$B$6,L43/M43,0)</f>
        <v>2553.303299370175</v>
      </c>
    </row>
    <row r="44" spans="1:16">
      <c r="A44" s="1">
        <v>54239</v>
      </c>
      <c r="B44" s="1">
        <v>54057</v>
      </c>
      <c r="C44">
        <v>36</v>
      </c>
      <c r="D44">
        <v>8497.719651168572</v>
      </c>
      <c r="E44">
        <v>8497.719651168572</v>
      </c>
      <c r="F44">
        <v>8497.719651168572</v>
      </c>
      <c r="G44">
        <v>0</v>
      </c>
      <c r="H44">
        <v>0</v>
      </c>
      <c r="I44">
        <f>F44+G44-H44</f>
        <v>8497.719651168572</v>
      </c>
      <c r="J44">
        <f>I44-D44</f>
        <v>0.0</v>
      </c>
      <c r="L44">
        <f>E44</f>
        <v>8497.719651168572</v>
      </c>
      <c r="M44">
        <f>(1+$B$2)^((A44-$B$3)/365)</f>
        <v>2.420052833352659</v>
      </c>
      <c r="N44">
        <f>IF(A44&lt;=$B$4,L44/M44,0)</f>
        <v>0</v>
      </c>
      <c r="O44">
        <f>IF(A44&lt;=$B$5,L44/M44,0)</f>
        <v>0</v>
      </c>
      <c r="P44">
        <f>IF(A44&lt;=$B$6,L44/M44,0)</f>
        <v>3511.3777410372154</v>
      </c>
    </row>
    <row r="45" spans="1:16">
      <c r="A45" s="1">
        <v>54423</v>
      </c>
      <c r="B45" s="1">
        <v>54239</v>
      </c>
      <c r="C45">
        <v>37</v>
      </c>
      <c r="D45">
        <v>5866.370274749053</v>
      </c>
      <c r="E45">
        <v>5866.370274749053</v>
      </c>
      <c r="F45">
        <v>8591.101185796797</v>
      </c>
      <c r="G45">
        <v>0</v>
      </c>
      <c r="H45">
        <v>2724.730911047744</v>
      </c>
      <c r="I45">
        <f>F45+G45-H45</f>
        <v>5866.370274749053</v>
      </c>
      <c r="J45">
        <f>I45-D45</f>
        <v>0.0</v>
      </c>
      <c r="L45">
        <f>E45</f>
        <v>5866.370274749053</v>
      </c>
      <c r="M45">
        <f>(1+$B$2)^((A45-$B$3)/365)</f>
        <v>2.4862605285978243</v>
      </c>
      <c r="N45">
        <f>IF(A45&lt;=$B$4,L45/M45,0)</f>
        <v>0</v>
      </c>
      <c r="O45">
        <f>IF(A45&lt;=$B$5,L45/M45,0)</f>
        <v>0</v>
      </c>
      <c r="P45">
        <f>IF(A45&lt;=$B$6,L45/M45,0)</f>
        <v>2359.5155082389974</v>
      </c>
    </row>
    <row r="46" spans="1:16">
      <c r="A46" s="1">
        <v>54604</v>
      </c>
      <c r="B46" s="1">
        <v>54423</v>
      </c>
      <c r="C46">
        <v>38</v>
      </c>
      <c r="D46">
        <v>8643.666035398759</v>
      </c>
      <c r="E46">
        <v>8643.666035398759</v>
      </c>
      <c r="F46">
        <v>8643.666035398759</v>
      </c>
      <c r="G46">
        <v>0</v>
      </c>
      <c r="H46">
        <v>0</v>
      </c>
      <c r="I46">
        <f>F46+G46-H46</f>
        <v>8643.666035398759</v>
      </c>
      <c r="J46">
        <f>I46-D46</f>
        <v>0.0</v>
      </c>
      <c r="L46">
        <f>E46</f>
        <v>8643.666035398759</v>
      </c>
      <c r="M46">
        <f>(1+$B$2)^((A46-$B$3)/365)</f>
        <v>2.553155739187055</v>
      </c>
      <c r="N46">
        <f>IF(A46&lt;=$B$4,L46/M46,0)</f>
        <v>0</v>
      </c>
      <c r="O46">
        <f>IF(A46&lt;=$B$5,L46/M46,0)</f>
        <v>0</v>
      </c>
      <c r="P46">
        <f>IF(A46&lt;=$B$6,L46/M46,0)</f>
        <v>3385.4832679149335</v>
      </c>
    </row>
    <row r="47" spans="1:16">
      <c r="A47" s="1">
        <v>54788</v>
      </c>
      <c r="B47" s="1">
        <v>54604</v>
      </c>
      <c r="C47">
        <v>39</v>
      </c>
      <c r="D47">
        <v>5747.130859015251</v>
      </c>
      <c r="E47">
        <v>5747.130859015251</v>
      </c>
      <c r="F47">
        <v>8786.931218305923</v>
      </c>
      <c r="G47">
        <v>0</v>
      </c>
      <c r="H47">
        <v>3039.800359290671</v>
      </c>
      <c r="I47">
        <f>F47+G47-H47</f>
        <v>5747.130859015251</v>
      </c>
      <c r="J47">
        <f>I47-D47</f>
        <v>0.0</v>
      </c>
      <c r="L47">
        <f>E47</f>
        <v>5747.130859015251</v>
      </c>
      <c r="M47">
        <f>(1+$B$2)^((A47-$B$3)/365)</f>
        <v>2.6230048576707046</v>
      </c>
      <c r="N47">
        <f>IF(A47&lt;=$B$4,L47/M47,0)</f>
        <v>0</v>
      </c>
      <c r="O47">
        <f>IF(A47&lt;=$B$5,L47/M47,0)</f>
        <v>0</v>
      </c>
      <c r="P47">
        <f>IF(A47&lt;=$B$6,L47/M47,0)</f>
        <v>2191.048500046946</v>
      </c>
    </row>
    <row r="48" spans="1:16">
      <c r="A48" s="1">
        <v>54969</v>
      </c>
      <c r="B48" s="1">
        <v>54788</v>
      </c>
      <c r="C48">
        <v>40</v>
      </c>
      <c r="D48">
        <v>8816.539356106729</v>
      </c>
      <c r="E48">
        <v>8816.539356106729</v>
      </c>
      <c r="F48">
        <v>8816.539356106729</v>
      </c>
      <c r="G48">
        <v>0</v>
      </c>
      <c r="H48">
        <v>0</v>
      </c>
      <c r="I48">
        <f>F48+G48-H48</f>
        <v>8816.539356106729</v>
      </c>
      <c r="J48">
        <f>I48-D48</f>
        <v>0.0</v>
      </c>
      <c r="L48">
        <f>E48</f>
        <v>8816.539356106729</v>
      </c>
      <c r="M48">
        <f>(1+$B$2)^((A48-$B$3)/365)</f>
        <v>2.693579304842343</v>
      </c>
      <c r="N48">
        <f>IF(A48&lt;=$B$4,L48/M48,0)</f>
        <v>0</v>
      </c>
      <c r="O48">
        <f>IF(A48&lt;=$B$5,L48/M48,0)</f>
        <v>0</v>
      </c>
      <c r="P48">
        <f>IF(A48&lt;=$B$6,L48/M48,0)</f>
        <v>3273.168657131024</v>
      </c>
    </row>
    <row r="49" spans="1:16">
      <c r="A49" s="1">
        <v>55153</v>
      </c>
      <c r="B49" s="1">
        <v>54969</v>
      </c>
      <c r="C49">
        <v>41</v>
      </c>
      <c r="D49">
        <v>5586.751742545366</v>
      </c>
      <c r="E49">
        <v>5586.751742545366</v>
      </c>
      <c r="F49">
        <v>8962.669842672036</v>
      </c>
      <c r="G49">
        <v>0</v>
      </c>
      <c r="H49">
        <v>3375.91810012667</v>
      </c>
      <c r="I49">
        <f>F49+G49-H49</f>
        <v>5586.751742545366</v>
      </c>
      <c r="J49">
        <f>I49-D49</f>
        <v>0.0</v>
      </c>
      <c r="L49">
        <f>E49</f>
        <v>5586.751742545366</v>
      </c>
      <c r="M49">
        <f>(1+$B$2)^((A49-$B$3)/365)</f>
        <v>2.7672701248425935</v>
      </c>
      <c r="N49">
        <f>IF(A49&lt;=$B$4,L49/M49,0)</f>
        <v>0</v>
      </c>
      <c r="O49">
        <f>IF(A49&lt;=$B$5,L49/M49,0)</f>
        <v>0</v>
      </c>
      <c r="P49">
        <f>IF(A49&lt;=$B$6,L49/M49,0)</f>
        <v>2018.867508593202</v>
      </c>
    </row>
    <row r="50" spans="1:16">
      <c r="A50" s="1">
        <v>55334</v>
      </c>
      <c r="B50" s="1">
        <v>55153</v>
      </c>
      <c r="C50">
        <v>42</v>
      </c>
      <c r="D50">
        <v>8992.870143228873</v>
      </c>
      <c r="E50">
        <v>8992.870143228873</v>
      </c>
      <c r="F50">
        <v>8992.870143228873</v>
      </c>
      <c r="G50">
        <v>0</v>
      </c>
      <c r="H50">
        <v>0</v>
      </c>
      <c r="I50">
        <f>F50+G50-H50</f>
        <v>8992.870143228873</v>
      </c>
      <c r="J50">
        <f>I50-D50</f>
        <v>0.0</v>
      </c>
      <c r="L50">
        <f>E50</f>
        <v>8992.870143228873</v>
      </c>
      <c r="M50">
        <f>(1+$B$2)^((A50-$B$3)/365)</f>
        <v>2.8417261666086717</v>
      </c>
      <c r="N50">
        <f>IF(A50&lt;=$B$4,L50/M50,0)</f>
        <v>0</v>
      </c>
      <c r="O50">
        <f>IF(A50&lt;=$B$5,L50/M50,0)</f>
        <v>0</v>
      </c>
      <c r="P50">
        <f>IF(A50&lt;=$B$6,L50/M50,0)</f>
        <v>3164.5801234821306</v>
      </c>
    </row>
    <row r="51" spans="1:16">
      <c r="A51" s="1">
        <v>55518</v>
      </c>
      <c r="B51" s="1">
        <v>55334</v>
      </c>
      <c r="C51">
        <v>43</v>
      </c>
      <c r="D51">
        <v>5436.766766732922</v>
      </c>
      <c r="E51">
        <v>5436.766766732922</v>
      </c>
      <c r="F51">
        <v>9141.923239525484</v>
      </c>
      <c r="G51">
        <v>0</v>
      </c>
      <c r="H51">
        <v>3705.156472792562</v>
      </c>
      <c r="I51">
        <f>F51+G51-H51</f>
        <v>5436.766766732922</v>
      </c>
      <c r="J51">
        <f>I51-D51</f>
        <v>0.0</v>
      </c>
      <c r="L51">
        <f>E51</f>
        <v>5436.766766732922</v>
      </c>
      <c r="M51">
        <f>(1+$B$2)^((A51-$B$3)/365)</f>
        <v>2.919469981708936</v>
      </c>
      <c r="N51">
        <f>IF(A51&lt;=$B$4,L51/M51,0)</f>
        <v>0</v>
      </c>
      <c r="O51">
        <f>IF(A51&lt;=$B$5,L51/M51,0)</f>
        <v>0</v>
      </c>
      <c r="P51">
        <f>IF(A51&lt;=$B$6,L51/M51,0)</f>
        <v>1862.2444487510936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15">
      <c r="A1" t="s">
        <v>41</v>
      </c>
      <c r="B1">
        <v>0.08</v>
      </c>
      <c r="C1" t="s">
        <v>42</v>
      </c>
      <c r="D1">
        <v>0.12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</row>
    <row r="4" spans="1:15">
      <c r="A4" s="1">
        <v>47664</v>
      </c>
      <c r="B4">
        <v>79250</v>
      </c>
      <c r="C4">
        <v>0</v>
      </c>
      <c r="D4">
        <v>0</v>
      </c>
      <c r="E4">
        <v>0</v>
      </c>
      <c r="F4">
        <f>-B4+C4-D4+E4</f>
        <v>-79250.0</v>
      </c>
      <c r="G4">
        <f>F4/((1+$B$1)^((A4-$A$4)/365))</f>
        <v>-79250.0</v>
      </c>
      <c r="H4" s="1">
        <v>47484</v>
      </c>
      <c r="I4">
        <v>80142.47082042632</v>
      </c>
      <c r="J4">
        <v>0</v>
      </c>
      <c r="K4">
        <v>0</v>
      </c>
      <c r="L4">
        <v>0</v>
      </c>
      <c r="M4">
        <v>0</v>
      </c>
      <c r="N4">
        <f>-I4-J4+K4+L4+M4</f>
        <v>-80142.47082042632</v>
      </c>
      <c r="O4">
        <f>N4/((1+$D$1)^((H4-$H$4)/365))</f>
        <v>-80142.47082042632</v>
      </c>
    </row>
    <row r="5" spans="1:15">
      <c r="A5" s="1">
        <v>47848</v>
      </c>
      <c r="B5">
        <v>61250</v>
      </c>
      <c r="C5">
        <v>0</v>
      </c>
      <c r="D5">
        <v>0</v>
      </c>
      <c r="E5">
        <v>0</v>
      </c>
      <c r="F5">
        <f>-B5+C5-D5+E5</f>
        <v>-61250.0</v>
      </c>
      <c r="G5">
        <f>F5/((1+$B$1)^((A5-$A$4)/365))</f>
        <v>-58919.20217033563</v>
      </c>
      <c r="H5" s="1">
        <v>47665</v>
      </c>
      <c r="I5">
        <v>9857.529179573685</v>
      </c>
      <c r="J5">
        <v>51705.94298205955</v>
      </c>
      <c r="K5">
        <v>0</v>
      </c>
      <c r="L5">
        <v>0</v>
      </c>
      <c r="M5">
        <v>0</v>
      </c>
      <c r="N5">
        <f>-I5-J5+K5+L5+M5</f>
        <v>-61563.47216163324</v>
      </c>
      <c r="O5">
        <f>N5/((1+$D$1)^((H5-$H$4)/365))</f>
        <v>-58199.11229368847</v>
      </c>
    </row>
    <row r="6" spans="1:15">
      <c r="A6" s="1">
        <v>48029</v>
      </c>
      <c r="B6">
        <v>40500</v>
      </c>
      <c r="C6">
        <v>0</v>
      </c>
      <c r="D6">
        <v>0</v>
      </c>
      <c r="E6">
        <v>0</v>
      </c>
      <c r="F6">
        <f>-B6+C6-D6+E6</f>
        <v>-40500.0</v>
      </c>
      <c r="G6">
        <f>F6/((1+$B$1)^((A6-$A$4)/365))</f>
        <v>-37500.0</v>
      </c>
      <c r="H6" s="1">
        <v>47849</v>
      </c>
      <c r="I6">
        <v>0</v>
      </c>
      <c r="J6">
        <v>8083.685919941025</v>
      </c>
      <c r="K6">
        <v>0</v>
      </c>
      <c r="L6">
        <v>0</v>
      </c>
      <c r="M6">
        <v>0</v>
      </c>
      <c r="N6">
        <f>-I6-J6+K6+L6+M6</f>
        <v>-8083.685919941025</v>
      </c>
      <c r="O6">
        <f>N6/((1+$D$1)^((H6-$H$4)/365))</f>
        <v>-7217.576714233058</v>
      </c>
    </row>
    <row r="7" spans="1:15">
      <c r="A7" s="1">
        <v>48213</v>
      </c>
      <c r="B7">
        <v>19000</v>
      </c>
      <c r="C7">
        <v>0</v>
      </c>
      <c r="D7">
        <v>0</v>
      </c>
      <c r="E7">
        <v>0</v>
      </c>
      <c r="F7">
        <f>-B7+C7-D7+E7</f>
        <v>-19000.0</v>
      </c>
      <c r="G7">
        <f>F7/((1+$B$1)^((A7-$A$4)/365))</f>
        <v>-16923.12685164591</v>
      </c>
      <c r="H7" s="1">
        <v>48030</v>
      </c>
      <c r="I7">
        <v>0</v>
      </c>
      <c r="J7">
        <v>0</v>
      </c>
      <c r="K7">
        <v>0</v>
      </c>
      <c r="L7">
        <v>0</v>
      </c>
      <c r="M7">
        <v>0</v>
      </c>
      <c r="N7">
        <f>-I7-J7+K7+L7+M7</f>
        <v>0.0</v>
      </c>
      <c r="O7">
        <f>N7/((1+$D$1)^((H7-$H$4)/365))</f>
        <v>0.0</v>
      </c>
    </row>
    <row r="8" spans="1:15">
      <c r="A8" s="1">
        <v>48395</v>
      </c>
      <c r="B8">
        <v>0</v>
      </c>
      <c r="C8">
        <v>2302.966338797814</v>
      </c>
      <c r="D8">
        <v>0</v>
      </c>
      <c r="E8">
        <v>0</v>
      </c>
      <c r="F8">
        <f>-B8+C8-D8+E8</f>
        <v>2302.9663387978144</v>
      </c>
      <c r="G8">
        <f>F8/((1+$B$1)^((A8-$A$4)/365))</f>
        <v>1974.0061767347238</v>
      </c>
      <c r="H8" s="1">
        <v>48395</v>
      </c>
      <c r="I8">
        <v>0</v>
      </c>
      <c r="J8">
        <v>0</v>
      </c>
      <c r="K8">
        <v>0</v>
      </c>
      <c r="L8">
        <v>531.4537704918034</v>
      </c>
      <c r="M8">
        <v>0</v>
      </c>
      <c r="N8">
        <f>-I8-J8+K8+L8+M8</f>
        <v>531.4537704918034</v>
      </c>
      <c r="O8">
        <f>N8/((1+$D$1)^((H8-$H$4)/365))</f>
        <v>400.51861135786237</v>
      </c>
    </row>
    <row r="9" spans="1:15">
      <c r="A9" s="1">
        <v>48579</v>
      </c>
      <c r="B9">
        <v>0</v>
      </c>
      <c r="C9">
        <v>2328.273661202185</v>
      </c>
      <c r="D9">
        <v>0</v>
      </c>
      <c r="E9">
        <v>0</v>
      </c>
      <c r="F9">
        <f>-B9+C9-D9+E9</f>
        <v>2328.2736612021854</v>
      </c>
      <c r="G9">
        <f>F9/((1+$B$1)^((A9-$A$4)/365))</f>
        <v>1919.754554680825</v>
      </c>
      <c r="H9" s="1">
        <v>48579</v>
      </c>
      <c r="I9">
        <v>0</v>
      </c>
      <c r="J9">
        <v>0</v>
      </c>
      <c r="K9">
        <v>0</v>
      </c>
      <c r="L9">
        <v>537.293921815889</v>
      </c>
      <c r="M9">
        <v>0</v>
      </c>
      <c r="N9">
        <f>-I9-J9+K9+L9+M9</f>
        <v>537.293921815889</v>
      </c>
      <c r="O9">
        <f>N9/((1+$D$1)^((H9-$H$4)/365))</f>
        <v>382.435200818753</v>
      </c>
    </row>
    <row r="10" spans="1:15">
      <c r="A10" s="1">
        <v>48760</v>
      </c>
      <c r="B10">
        <v>0</v>
      </c>
      <c r="C10">
        <v>4319.480797808219</v>
      </c>
      <c r="D10">
        <v>0</v>
      </c>
      <c r="E10">
        <v>0</v>
      </c>
      <c r="F10">
        <f>-B10+C10-D10+E10</f>
        <v>4319.480797808219</v>
      </c>
      <c r="G10">
        <f>F10/((1+$B$1)^((A10-$A$4)/365))</f>
        <v>3428.220197895954</v>
      </c>
      <c r="H10" s="1">
        <v>48760</v>
      </c>
      <c r="I10">
        <v>0</v>
      </c>
      <c r="J10">
        <v>0</v>
      </c>
      <c r="K10">
        <v>0</v>
      </c>
      <c r="L10">
        <v>996.8032610326659</v>
      </c>
      <c r="M10">
        <v>0</v>
      </c>
      <c r="N10">
        <f>-I10-J10+K10+L10+M10</f>
        <v>996.8032610326659</v>
      </c>
      <c r="O10">
        <f>N10/((1+$D$1)^((H10-$H$4)/365))</f>
        <v>670.731397658842</v>
      </c>
    </row>
    <row r="11" spans="1:15">
      <c r="A11" s="1">
        <v>48944</v>
      </c>
      <c r="B11">
        <v>0</v>
      </c>
      <c r="C11">
        <v>4391.07440219178</v>
      </c>
      <c r="D11">
        <v>0</v>
      </c>
      <c r="E11">
        <v>0</v>
      </c>
      <c r="F11">
        <f>-B11+C11-D11+E11</f>
        <v>4391.07440219178</v>
      </c>
      <c r="G11">
        <f>F11/((1+$B$1)^((A11-$A$4)/365))</f>
        <v>3352.422307097872</v>
      </c>
      <c r="H11" s="1">
        <v>48944</v>
      </c>
      <c r="I11">
        <v>0</v>
      </c>
      <c r="J11">
        <v>0</v>
      </c>
      <c r="K11">
        <v>0</v>
      </c>
      <c r="L11">
        <v>1013.324862044257</v>
      </c>
      <c r="M11">
        <v>0</v>
      </c>
      <c r="N11">
        <f>-I11-J11+K11+L11+M11</f>
        <v>1013.3248620442569</v>
      </c>
      <c r="O11">
        <f>N11/((1+$D$1)^((H11-$H$4)/365))</f>
        <v>643.9862691262069</v>
      </c>
    </row>
    <row r="12" spans="1:15">
      <c r="A12" s="1">
        <v>49125</v>
      </c>
      <c r="B12">
        <v>0</v>
      </c>
      <c r="C12">
        <v>6422.371185402741</v>
      </c>
      <c r="D12">
        <v>0</v>
      </c>
      <c r="E12">
        <v>0</v>
      </c>
      <c r="F12">
        <f>-B12+C12-D12+E12</f>
        <v>6422.371185402741</v>
      </c>
      <c r="G12">
        <f>F12/((1+$B$1)^((A12-$A$4)/365))</f>
        <v>4719.639295913678</v>
      </c>
      <c r="H12" s="1">
        <v>49125</v>
      </c>
      <c r="I12">
        <v>0</v>
      </c>
      <c r="J12">
        <v>0</v>
      </c>
      <c r="K12">
        <v>0</v>
      </c>
      <c r="L12">
        <v>1482.085658169864</v>
      </c>
      <c r="M12">
        <v>0</v>
      </c>
      <c r="N12">
        <f>-I12-J12+K12+L12+M12</f>
        <v>1482.0856581698636</v>
      </c>
      <c r="O12">
        <f>N12/((1+$D$1)^((H12-$H$4)/365))</f>
        <v>890.4191025803319</v>
      </c>
    </row>
    <row r="13" spans="1:15">
      <c r="A13" s="1">
        <v>49309</v>
      </c>
      <c r="B13">
        <v>0</v>
      </c>
      <c r="C13">
        <v>6528.81932659726</v>
      </c>
      <c r="D13">
        <v>0</v>
      </c>
      <c r="E13">
        <v>0</v>
      </c>
      <c r="F13">
        <f>-B13+C13-D13+E13</f>
        <v>6528.81932659726</v>
      </c>
      <c r="G13">
        <f>F13/((1+$B$1)^((A13-$A$4)/365))</f>
        <v>4615.288150623314</v>
      </c>
      <c r="H13" s="1">
        <v>49309</v>
      </c>
      <c r="I13">
        <v>0</v>
      </c>
      <c r="J13">
        <v>0</v>
      </c>
      <c r="K13">
        <v>0</v>
      </c>
      <c r="L13">
        <v>1506.650613830137</v>
      </c>
      <c r="M13">
        <v>0</v>
      </c>
      <c r="N13">
        <f>-I13-J13+K13+L13+M13</f>
        <v>1506.6506138301374</v>
      </c>
      <c r="O13">
        <f>N13/((1+$D$1)^((H13-$H$4)/365))</f>
        <v>854.9140204721326</v>
      </c>
    </row>
    <row r="14" spans="1:15">
      <c r="A14" s="1">
        <v>49490</v>
      </c>
      <c r="B14">
        <v>0</v>
      </c>
      <c r="C14">
        <v>6550.818609110796</v>
      </c>
      <c r="D14">
        <v>0</v>
      </c>
      <c r="E14">
        <v>0</v>
      </c>
      <c r="F14">
        <f>-B14+C14-D14+E14</f>
        <v>6550.818609110796</v>
      </c>
      <c r="G14">
        <f>F14/((1+$B$1)^((A14-$A$4)/365))</f>
        <v>4457.4371128073635</v>
      </c>
      <c r="H14" s="1">
        <v>49490</v>
      </c>
      <c r="I14">
        <v>0</v>
      </c>
      <c r="J14">
        <v>0</v>
      </c>
      <c r="K14">
        <v>0</v>
      </c>
      <c r="L14">
        <v>1511.727371333261</v>
      </c>
      <c r="M14">
        <v>0</v>
      </c>
      <c r="N14">
        <f>-I14-J14+K14+L14+M14</f>
        <v>1511.7273713332606</v>
      </c>
      <c r="O14">
        <f>N14/((1+$D$1)^((H14-$H$4)/365))</f>
        <v>810.9173969928022</v>
      </c>
    </row>
    <row r="15" spans="1:15">
      <c r="A15" s="1">
        <v>49674</v>
      </c>
      <c r="B15">
        <v>0</v>
      </c>
      <c r="C15">
        <v>6659.395713129206</v>
      </c>
      <c r="D15">
        <v>0</v>
      </c>
      <c r="E15">
        <v>0</v>
      </c>
      <c r="F15">
        <f>-B15+C15-D15+E15</f>
        <v>6659.395713129206</v>
      </c>
      <c r="G15">
        <f>F15/((1+$B$1)^((A15-$A$4)/365))</f>
        <v>4358.883253366464</v>
      </c>
      <c r="H15" s="1">
        <v>49674</v>
      </c>
      <c r="I15">
        <v>0</v>
      </c>
      <c r="J15">
        <v>0</v>
      </c>
      <c r="K15">
        <v>0</v>
      </c>
      <c r="L15">
        <v>1536.78362610674</v>
      </c>
      <c r="M15">
        <v>0</v>
      </c>
      <c r="N15">
        <f>-I15-J15+K15+L15+M15</f>
        <v>1536.7836261067405</v>
      </c>
      <c r="O15">
        <f>N15/((1+$D$1)^((H15-$H$4)/365))</f>
        <v>778.5824115014067</v>
      </c>
    </row>
    <row r="16" spans="1:15">
      <c r="A16" s="1">
        <v>49856</v>
      </c>
      <c r="B16">
        <v>0</v>
      </c>
      <c r="C16">
        <v>6700.393952952551</v>
      </c>
      <c r="D16">
        <v>0</v>
      </c>
      <c r="E16">
        <v>0</v>
      </c>
      <c r="F16">
        <f>-B16+C16-D16+E16</f>
        <v>6700.3939529525505</v>
      </c>
      <c r="G16">
        <f>F16/((1+$B$1)^((A16-$A$4)/365))</f>
        <v>4220.604534735929</v>
      </c>
      <c r="H16" s="1">
        <v>49856</v>
      </c>
      <c r="I16">
        <v>0</v>
      </c>
      <c r="J16">
        <v>0</v>
      </c>
      <c r="K16">
        <v>0</v>
      </c>
      <c r="L16">
        <v>1546.244758373666</v>
      </c>
      <c r="M16">
        <v>0</v>
      </c>
      <c r="N16">
        <f>-I16-J16+K16+L16+M16</f>
        <v>1546.2447583736657</v>
      </c>
      <c r="O16">
        <f>N16/((1+$D$1)^((H16-$H$4)/365))</f>
        <v>740.3353980205568</v>
      </c>
    </row>
    <row r="17" spans="1:15">
      <c r="A17" s="1">
        <v>50040</v>
      </c>
      <c r="B17">
        <v>0</v>
      </c>
      <c r="C17">
        <v>6774.024655732248</v>
      </c>
      <c r="D17">
        <v>0</v>
      </c>
      <c r="E17">
        <v>0</v>
      </c>
      <c r="F17">
        <f>-B17+C17-D17+E17</f>
        <v>6774.024655732248</v>
      </c>
      <c r="G17">
        <f>F17/((1+$B$1)^((A17-$A$4)/365))</f>
        <v>4104.609638288229</v>
      </c>
      <c r="H17" s="1">
        <v>50040</v>
      </c>
      <c r="I17">
        <v>0</v>
      </c>
      <c r="J17">
        <v>0</v>
      </c>
      <c r="K17">
        <v>0</v>
      </c>
      <c r="L17">
        <v>1563.236459015135</v>
      </c>
      <c r="M17">
        <v>0</v>
      </c>
      <c r="N17">
        <f>-I17-J17+K17+L17+M17</f>
        <v>1563.2364590151346</v>
      </c>
      <c r="O17">
        <f>N17/((1+$D$1)^((H17-$H$4)/365))</f>
        <v>706.9092636053482</v>
      </c>
    </row>
    <row r="18" spans="1:15">
      <c r="A18" s="1">
        <v>50221</v>
      </c>
      <c r="B18">
        <v>0</v>
      </c>
      <c r="C18">
        <v>6815.471680918872</v>
      </c>
      <c r="D18">
        <v>0</v>
      </c>
      <c r="E18">
        <v>0</v>
      </c>
      <c r="F18">
        <f>-B18+C18-D18+E18</f>
        <v>6815.471680918872</v>
      </c>
      <c r="G18">
        <f>F18/((1+$B$1)^((A18-$A$4)/365))</f>
        <v>3975.085600664006</v>
      </c>
      <c r="H18" s="1">
        <v>50221</v>
      </c>
      <c r="I18">
        <v>0</v>
      </c>
      <c r="J18">
        <v>0</v>
      </c>
      <c r="K18">
        <v>0</v>
      </c>
      <c r="L18">
        <v>1572.801157135124</v>
      </c>
      <c r="M18">
        <v>0</v>
      </c>
      <c r="N18">
        <f>-I18-J18+K18+L18+M18</f>
        <v>1572.8011571351244</v>
      </c>
      <c r="O18">
        <f>N18/((1+$D$1)^((H18-$H$4)/365))</f>
        <v>672.366507612944</v>
      </c>
    </row>
    <row r="19" spans="1:15">
      <c r="A19" s="1">
        <v>50405</v>
      </c>
      <c r="B19">
        <v>0</v>
      </c>
      <c r="C19">
        <v>6928.435299939627</v>
      </c>
      <c r="D19">
        <v>0</v>
      </c>
      <c r="E19">
        <v>0</v>
      </c>
      <c r="F19">
        <f>-B19+C19-D19+E19</f>
        <v>6928.435299939627</v>
      </c>
      <c r="G19">
        <f>F19/((1+$B$1)^((A19-$A$4)/365))</f>
        <v>3887.1965250273015</v>
      </c>
      <c r="H19" s="1">
        <v>50405</v>
      </c>
      <c r="I19">
        <v>0</v>
      </c>
      <c r="J19">
        <v>0</v>
      </c>
      <c r="K19">
        <v>0</v>
      </c>
      <c r="L19">
        <v>1598.869684601453</v>
      </c>
      <c r="M19">
        <v>0</v>
      </c>
      <c r="N19">
        <f>-I19-J19+K19+L19+M19</f>
        <v>1598.8696846014527</v>
      </c>
      <c r="O19">
        <f>N19/((1+$D$1)^((H19-$H$4)/365))</f>
        <v>645.5561797679762</v>
      </c>
    </row>
    <row r="20" spans="1:15">
      <c r="A20" s="1">
        <v>50586</v>
      </c>
      <c r="B20">
        <v>0</v>
      </c>
      <c r="C20">
        <v>6951.781114537245</v>
      </c>
      <c r="D20">
        <v>0</v>
      </c>
      <c r="E20">
        <v>0</v>
      </c>
      <c r="F20">
        <f>-B20+C20-D20+E20</f>
        <v>6951.781114537245</v>
      </c>
      <c r="G20">
        <f>F20/((1+$B$1)^((A20-$A$4)/365))</f>
        <v>3754.2475117382255</v>
      </c>
      <c r="H20" s="1">
        <v>50586</v>
      </c>
      <c r="I20">
        <v>0</v>
      </c>
      <c r="J20">
        <v>0</v>
      </c>
      <c r="K20">
        <v>0</v>
      </c>
      <c r="L20">
        <v>1604.257180277826</v>
      </c>
      <c r="M20">
        <v>0</v>
      </c>
      <c r="N20">
        <f>-I20-J20+K20+L20+M20</f>
        <v>1604.2571802778257</v>
      </c>
      <c r="O20">
        <f>N20/((1+$D$1)^((H20-$H$4)/365))</f>
        <v>612.3337837189307</v>
      </c>
    </row>
    <row r="21" spans="1:15">
      <c r="A21" s="1">
        <v>50770</v>
      </c>
      <c r="B21">
        <v>0</v>
      </c>
      <c r="C21">
        <v>7067.004005938419</v>
      </c>
      <c r="D21">
        <v>173.4067045741567</v>
      </c>
      <c r="E21">
        <v>0</v>
      </c>
      <c r="F21">
        <f>-B21+C21-D21+E21</f>
        <v>6893.597301364262</v>
      </c>
      <c r="G21">
        <f>F21/((1+$B$1)^((A21-$A$4)/365))</f>
        <v>3581.1580337833016</v>
      </c>
      <c r="H21" s="1">
        <v>50770</v>
      </c>
      <c r="I21">
        <v>0</v>
      </c>
      <c r="J21">
        <v>0</v>
      </c>
      <c r="K21">
        <v>0</v>
      </c>
      <c r="L21">
        <v>1630.847078293482</v>
      </c>
      <c r="M21">
        <v>0</v>
      </c>
      <c r="N21">
        <f>-I21-J21+K21+L21+M21</f>
        <v>1630.847078293482</v>
      </c>
      <c r="O21">
        <f>N21/((1+$D$1)^((H21-$H$4)/365))</f>
        <v>587.9172351458355</v>
      </c>
    </row>
    <row r="22" spans="1:15">
      <c r="A22" s="1">
        <v>50951</v>
      </c>
      <c r="B22">
        <v>0</v>
      </c>
      <c r="C22">
        <v>7090.816736827996</v>
      </c>
      <c r="D22">
        <v>0</v>
      </c>
      <c r="E22">
        <v>0</v>
      </c>
      <c r="F22">
        <f>-B22+C22-D22+E22</f>
        <v>7090.816736827996</v>
      </c>
      <c r="G22">
        <f>F22/((1+$B$1)^((A22-$A$4)/365))</f>
        <v>3545.6782055305493</v>
      </c>
      <c r="H22" s="1">
        <v>50951</v>
      </c>
      <c r="I22">
        <v>0</v>
      </c>
      <c r="J22">
        <v>0</v>
      </c>
      <c r="K22">
        <v>0</v>
      </c>
      <c r="L22">
        <v>1636.342323883384</v>
      </c>
      <c r="M22">
        <v>0</v>
      </c>
      <c r="N22">
        <f>-I22-J22+K22+L22+M22</f>
        <v>1636.3423238833839</v>
      </c>
      <c r="O22">
        <f>N22/((1+$D$1)^((H22-$H$4)/365))</f>
        <v>557.6611244583124</v>
      </c>
    </row>
    <row r="23" spans="1:15">
      <c r="A23" s="1">
        <v>51135</v>
      </c>
      <c r="B23">
        <v>0</v>
      </c>
      <c r="C23">
        <v>7208.344086057186</v>
      </c>
      <c r="D23">
        <v>1324.975632611752</v>
      </c>
      <c r="E23">
        <v>0</v>
      </c>
      <c r="F23">
        <f>-B23+C23-D23+E23</f>
        <v>5883.368453445434</v>
      </c>
      <c r="G23">
        <f>F23/((1+$B$1)^((A23-$A$4)/365))</f>
        <v>2829.957208128219</v>
      </c>
      <c r="H23" s="1">
        <v>51135</v>
      </c>
      <c r="I23">
        <v>0</v>
      </c>
      <c r="J23">
        <v>0</v>
      </c>
      <c r="K23">
        <v>0</v>
      </c>
      <c r="L23">
        <v>1663.464019859351</v>
      </c>
      <c r="M23">
        <v>0</v>
      </c>
      <c r="N23">
        <f>-I23-J23+K23+L23+M23</f>
        <v>1663.4640198593506</v>
      </c>
      <c r="O23">
        <f>N23/((1+$D$1)^((H23-$H$4)/365))</f>
        <v>535.4246248649571</v>
      </c>
    </row>
    <row r="24" spans="1:15">
      <c r="A24" s="1">
        <v>51317</v>
      </c>
      <c r="B24">
        <v>0</v>
      </c>
      <c r="C24">
        <v>7252.72189934537</v>
      </c>
      <c r="D24">
        <v>0</v>
      </c>
      <c r="E24">
        <v>0</v>
      </c>
      <c r="F24">
        <f>-B24+C24-D24+E24</f>
        <v>7252.72189934537</v>
      </c>
      <c r="G24">
        <f>F24/((1+$B$1)^((A24-$A$4)/365))</f>
        <v>3357.2892077329743</v>
      </c>
      <c r="H24" s="1">
        <v>51317</v>
      </c>
      <c r="I24">
        <v>0</v>
      </c>
      <c r="J24">
        <v>0</v>
      </c>
      <c r="K24">
        <v>4477.634726229035</v>
      </c>
      <c r="L24">
        <v>3314.336964913281</v>
      </c>
      <c r="M24">
        <v>0</v>
      </c>
      <c r="N24">
        <f>-I24-J24+K24+L24+M24</f>
        <v>7791.971691142317</v>
      </c>
      <c r="O24">
        <f>N24/((1+$D$1)^((H24-$H$4)/365))</f>
        <v>2370.2311754374373</v>
      </c>
    </row>
    <row r="25" spans="1:15">
      <c r="A25" s="1">
        <v>51501</v>
      </c>
      <c r="B25">
        <v>0</v>
      </c>
      <c r="C25">
        <v>7332.422139997519</v>
      </c>
      <c r="D25">
        <v>1396.496258354338</v>
      </c>
      <c r="E25">
        <v>0</v>
      </c>
      <c r="F25">
        <f>-B25+C25-D25+E25</f>
        <v>5935.925881643181</v>
      </c>
      <c r="G25">
        <f>F25/((1+$B$1)^((A25-$A$4)/365))</f>
        <v>2643.181361576408</v>
      </c>
      <c r="H25" s="1">
        <v>51501</v>
      </c>
      <c r="I25">
        <v>0</v>
      </c>
      <c r="J25">
        <v>0</v>
      </c>
      <c r="K25">
        <v>3981.663889755521</v>
      </c>
      <c r="L25">
        <v>3350.758250241999</v>
      </c>
      <c r="M25">
        <v>0</v>
      </c>
      <c r="N25">
        <f>-I25-J25+K25+L25+M25</f>
        <v>7332.4221399975195</v>
      </c>
      <c r="O25">
        <f>N25/((1+$D$1)^((H25-$H$4)/365))</f>
        <v>2106.587597299391</v>
      </c>
    </row>
    <row r="26" spans="1:15">
      <c r="A26" s="1">
        <v>51682</v>
      </c>
      <c r="B26">
        <v>0</v>
      </c>
      <c r="C26">
        <v>7377.285732995844</v>
      </c>
      <c r="D26">
        <v>0</v>
      </c>
      <c r="E26">
        <v>0</v>
      </c>
      <c r="F26">
        <f>-B26+C26-D26+E26</f>
        <v>7377.285732995844</v>
      </c>
      <c r="G26">
        <f>F26/((1+$B$1)^((A26-$A$4)/365))</f>
        <v>3161.990628851703</v>
      </c>
      <c r="H26" s="1">
        <v>51682</v>
      </c>
      <c r="I26">
        <v>0</v>
      </c>
      <c r="J26">
        <v>0</v>
      </c>
      <c r="K26">
        <v>4072.128927672267</v>
      </c>
      <c r="L26">
        <v>3305.156805323577</v>
      </c>
      <c r="M26">
        <v>0</v>
      </c>
      <c r="N26">
        <f>-I26-J26+K26+L26+M26</f>
        <v>7377.285732995844</v>
      </c>
      <c r="O26">
        <f>N26/((1+$D$1)^((H26-$H$4)/365))</f>
        <v>2003.650282573857</v>
      </c>
    </row>
    <row r="27" spans="1:15">
      <c r="A27" s="1">
        <v>51866</v>
      </c>
      <c r="B27">
        <v>0</v>
      </c>
      <c r="C27">
        <v>7499.561187133899</v>
      </c>
      <c r="D27">
        <v>1469.415522456</v>
      </c>
      <c r="E27">
        <v>0</v>
      </c>
      <c r="F27">
        <f>-B27+C27-D27+E27</f>
        <v>6030.145664677899</v>
      </c>
      <c r="G27">
        <f>F27/((1+$B$1)^((A27-$A$4)/365))</f>
        <v>2486.2370916847503</v>
      </c>
      <c r="H27" s="1">
        <v>51866</v>
      </c>
      <c r="I27">
        <v>0</v>
      </c>
      <c r="J27">
        <v>0</v>
      </c>
      <c r="K27">
        <v>4139.622777302196</v>
      </c>
      <c r="L27">
        <v>3359.938409831703</v>
      </c>
      <c r="M27">
        <v>0</v>
      </c>
      <c r="N27">
        <f>-I27-J27+K27+L27+M27</f>
        <v>7499.561187133899</v>
      </c>
      <c r="O27">
        <f>N27/((1+$D$1)^((H27-$H$4)/365))</f>
        <v>1923.7555817607838</v>
      </c>
    </row>
    <row r="28" spans="1:15">
      <c r="A28" s="1">
        <v>52047</v>
      </c>
      <c r="B28">
        <v>0</v>
      </c>
      <c r="C28">
        <v>7524.831447655766</v>
      </c>
      <c r="D28">
        <v>0</v>
      </c>
      <c r="E28">
        <v>0</v>
      </c>
      <c r="F28">
        <f>-B28+C28-D28+E28</f>
        <v>7524.831447655766</v>
      </c>
      <c r="G28">
        <f>F28/((1+$B$1)^((A28-$A$4)/365))</f>
        <v>2986.3244828043885</v>
      </c>
      <c r="H28" s="1">
        <v>52047</v>
      </c>
      <c r="I28">
        <v>0</v>
      </c>
      <c r="J28">
        <v>0</v>
      </c>
      <c r="K28">
        <v>4219.674642332189</v>
      </c>
      <c r="L28">
        <v>3305.156805323577</v>
      </c>
      <c r="M28">
        <v>0</v>
      </c>
      <c r="N28">
        <f>-I28-J28+K28+L28+M28</f>
        <v>7524.831447655766</v>
      </c>
      <c r="O28">
        <f>N28/((1+$D$1)^((H28-$H$4)/365))</f>
        <v>1824.7529359154782</v>
      </c>
    </row>
    <row r="29" spans="1:15">
      <c r="A29" s="1">
        <v>52231</v>
      </c>
      <c r="B29">
        <v>0</v>
      </c>
      <c r="C29">
        <v>7649.552410876579</v>
      </c>
      <c r="D29">
        <v>1543.803832905121</v>
      </c>
      <c r="E29">
        <v>0</v>
      </c>
      <c r="F29">
        <f>-B29+C29-D29+E29</f>
        <v>6105.748577971457</v>
      </c>
      <c r="G29">
        <f>F29/((1+$B$1)^((A29-$A$4)/365))</f>
        <v>2330.933586633</v>
      </c>
      <c r="H29" s="1">
        <v>52231</v>
      </c>
      <c r="I29">
        <v>0</v>
      </c>
      <c r="J29">
        <v>0</v>
      </c>
      <c r="K29">
        <v>4289.614001044875</v>
      </c>
      <c r="L29">
        <v>3359.938409831703</v>
      </c>
      <c r="M29">
        <v>0</v>
      </c>
      <c r="N29">
        <f>-I29-J29+K29+L29+M29</f>
        <v>7649.5524108765785</v>
      </c>
      <c r="O29">
        <f>N29/((1+$D$1)^((H29-$H$4)/365))</f>
        <v>1751.9916905321427</v>
      </c>
    </row>
    <row r="30" spans="1:15">
      <c r="A30" s="1">
        <v>52412</v>
      </c>
      <c r="B30">
        <v>0</v>
      </c>
      <c r="C30">
        <v>7675.328076608879</v>
      </c>
      <c r="D30">
        <v>0</v>
      </c>
      <c r="E30">
        <v>0</v>
      </c>
      <c r="F30">
        <f>-B30+C30-D30+E30</f>
        <v>7675.328076608879</v>
      </c>
      <c r="G30">
        <f>F30/((1+$B$1)^((A30-$A$4)/365))</f>
        <v>2820.4175670930326</v>
      </c>
      <c r="H30" s="1">
        <v>52412</v>
      </c>
      <c r="I30">
        <v>0</v>
      </c>
      <c r="J30">
        <v>0</v>
      </c>
      <c r="K30">
        <v>4370.171271285302</v>
      </c>
      <c r="L30">
        <v>3305.156805323577</v>
      </c>
      <c r="M30">
        <v>0</v>
      </c>
      <c r="N30">
        <f>-I30-J30+K30+L30+M30</f>
        <v>7675.328076608879</v>
      </c>
      <c r="O30">
        <f>N30/((1+$D$1)^((H30-$H$4)/365))</f>
        <v>1661.82856663731</v>
      </c>
    </row>
    <row r="31" spans="1:15">
      <c r="A31" s="1">
        <v>52596</v>
      </c>
      <c r="B31">
        <v>0</v>
      </c>
      <c r="C31">
        <v>7802.543459094108</v>
      </c>
      <c r="D31">
        <v>1619.667207585218</v>
      </c>
      <c r="E31">
        <v>0</v>
      </c>
      <c r="F31">
        <f>-B31+C31-D31+E31</f>
        <v>6182.876251508889</v>
      </c>
      <c r="G31">
        <f>F31/((1+$B$1)^((A31-$A$4)/365))</f>
        <v>2185.5350789802474</v>
      </c>
      <c r="H31" s="1">
        <v>52596</v>
      </c>
      <c r="I31">
        <v>0</v>
      </c>
      <c r="J31">
        <v>0</v>
      </c>
      <c r="K31">
        <v>4442.605049262404</v>
      </c>
      <c r="L31">
        <v>3359.938409831703</v>
      </c>
      <c r="M31">
        <v>0</v>
      </c>
      <c r="N31">
        <f>-I31-J31+K31+L31+M31</f>
        <v>7802.543459094108</v>
      </c>
      <c r="O31">
        <f>N31/((1+$D$1)^((H31-$H$4)/365))</f>
        <v>1595.5638610203437</v>
      </c>
    </row>
    <row r="32" spans="1:15">
      <c r="A32" s="1">
        <v>52778</v>
      </c>
      <c r="B32">
        <v>0</v>
      </c>
      <c r="C32">
        <v>7850.579431387709</v>
      </c>
      <c r="D32">
        <v>0</v>
      </c>
      <c r="E32">
        <v>0</v>
      </c>
      <c r="F32">
        <f>-B32+C32-D32+E32</f>
        <v>7850.579431387709</v>
      </c>
      <c r="G32">
        <f>F32/((1+$B$1)^((A32-$A$4)/365))</f>
        <v>2670.5631223195173</v>
      </c>
      <c r="H32" s="1">
        <v>52778</v>
      </c>
      <c r="I32">
        <v>0</v>
      </c>
      <c r="J32">
        <v>0</v>
      </c>
      <c r="K32">
        <v>0</v>
      </c>
      <c r="L32">
        <v>3314.336964913281</v>
      </c>
      <c r="M32">
        <v>4536.242466474427</v>
      </c>
      <c r="N32">
        <f>-I32-J32+K32+L32+M32</f>
        <v>7850.579431387709</v>
      </c>
      <c r="O32">
        <f>N32/((1+$D$1)^((H32-$H$4)/365))</f>
        <v>1517.1835231132482</v>
      </c>
    </row>
    <row r="33" spans="1:15">
      <c r="A33" s="1">
        <v>52962</v>
      </c>
      <c r="B33">
        <v>0</v>
      </c>
      <c r="C33">
        <v>7936.849535029334</v>
      </c>
      <c r="D33">
        <v>1697.086209732491</v>
      </c>
      <c r="E33">
        <v>0</v>
      </c>
      <c r="F33">
        <f>-B33+C33-D33+E33</f>
        <v>6239.7633252968435</v>
      </c>
      <c r="G33">
        <f>F33/((1+$B$1)^((A33-$A$4)/365))</f>
        <v>2041.8320521744506</v>
      </c>
      <c r="H33" s="1">
        <v>52962</v>
      </c>
      <c r="I33">
        <v>0</v>
      </c>
      <c r="J33">
        <v>0</v>
      </c>
      <c r="K33">
        <v>0</v>
      </c>
      <c r="L33">
        <v>3168.317023175049</v>
      </c>
      <c r="M33">
        <v>4768.532511854286</v>
      </c>
      <c r="N33">
        <f>-I33-J33+K33+L33+M33</f>
        <v>7936.849535029334</v>
      </c>
      <c r="O33">
        <f>N33/((1+$D$1)^((H33-$H$4)/365))</f>
        <v>1448.6827050898003</v>
      </c>
    </row>
    <row r="34" spans="1:15">
      <c r="A34" s="1">
        <v>53143</v>
      </c>
      <c r="B34">
        <v>0</v>
      </c>
      <c r="C34">
        <v>7985.411330903877</v>
      </c>
      <c r="D34">
        <v>0</v>
      </c>
      <c r="E34">
        <v>0</v>
      </c>
      <c r="F34">
        <f>-B34+C34-D34+E34</f>
        <v>7985.411330903877</v>
      </c>
      <c r="G34">
        <f>F34/((1+$B$1)^((A34-$A$4)/365))</f>
        <v>2515.212435997825</v>
      </c>
      <c r="H34" s="1">
        <v>53143</v>
      </c>
      <c r="I34">
        <v>0</v>
      </c>
      <c r="J34">
        <v>0</v>
      </c>
      <c r="K34">
        <v>0</v>
      </c>
      <c r="L34">
        <v>2936.024910292893</v>
      </c>
      <c r="M34">
        <v>5049.386420610984</v>
      </c>
      <c r="N34">
        <f>-I34-J34+K34+L34+M34</f>
        <v>7985.411330903877</v>
      </c>
      <c r="O34">
        <f>N34/((1+$D$1)^((H34-$H$4)/365))</f>
        <v>1377.8935730629914</v>
      </c>
    </row>
    <row r="35" spans="1:15">
      <c r="A35" s="1">
        <v>53327</v>
      </c>
      <c r="B35">
        <v>0</v>
      </c>
      <c r="C35">
        <v>8117.766214841513</v>
      </c>
      <c r="D35">
        <v>1776.014977909577</v>
      </c>
      <c r="E35">
        <v>0</v>
      </c>
      <c r="F35">
        <f>-B35+C35-D35+E35</f>
        <v>6341.751236931936</v>
      </c>
      <c r="G35">
        <f>F35/((1+$B$1)^((A35-$A$4)/365))</f>
        <v>1921.4865401118257</v>
      </c>
      <c r="H35" s="1">
        <v>53327</v>
      </c>
      <c r="I35">
        <v>0</v>
      </c>
      <c r="J35">
        <v>0</v>
      </c>
      <c r="K35">
        <v>0</v>
      </c>
      <c r="L35">
        <v>2781.052777523778</v>
      </c>
      <c r="M35">
        <v>5336.713437317734</v>
      </c>
      <c r="N35">
        <f>-I35-J35+K35+L35+M35</f>
        <v>8117.766214841513</v>
      </c>
      <c r="O35">
        <f>N35/((1+$D$1)^((H35-$H$4)/365))</f>
        <v>1322.9506542664494</v>
      </c>
    </row>
    <row r="36" spans="1:15">
      <c r="A36" s="1">
        <v>53508</v>
      </c>
      <c r="B36">
        <v>0</v>
      </c>
      <c r="C36">
        <v>8145.119557521959</v>
      </c>
      <c r="D36">
        <v>0</v>
      </c>
      <c r="E36">
        <v>0</v>
      </c>
      <c r="F36">
        <f>-B36+C36-D36+E36</f>
        <v>8145.119557521959</v>
      </c>
      <c r="G36">
        <f>F36/((1+$B$1)^((A36-$A$4)/365))</f>
        <v>2375.4784117757254</v>
      </c>
      <c r="H36" s="1">
        <v>53508</v>
      </c>
      <c r="I36">
        <v>0</v>
      </c>
      <c r="J36">
        <v>0</v>
      </c>
      <c r="K36">
        <v>0</v>
      </c>
      <c r="L36">
        <v>2523.995524148214</v>
      </c>
      <c r="M36">
        <v>5621.124033373745</v>
      </c>
      <c r="N36">
        <f>-I36-J36+K36+L36+M36</f>
        <v>8145.119557521959</v>
      </c>
      <c r="O36">
        <f>N36/((1+$D$1)^((H36-$H$4)/365))</f>
        <v>1254.8673611823679</v>
      </c>
    </row>
    <row r="37" spans="1:15">
      <c r="A37" s="1">
        <v>53692</v>
      </c>
      <c r="B37">
        <v>0</v>
      </c>
      <c r="C37">
        <v>8280.121539138341</v>
      </c>
      <c r="D37">
        <v>1860.644866508866</v>
      </c>
      <c r="E37">
        <v>0</v>
      </c>
      <c r="F37">
        <f>-B37+C37-D37+E37</f>
        <v>6419.476672629475</v>
      </c>
      <c r="G37">
        <f>F37/((1+$B$1)^((A37-$A$4)/365))</f>
        <v>1800.959779349015</v>
      </c>
      <c r="H37" s="1">
        <v>53692</v>
      </c>
      <c r="I37">
        <v>0</v>
      </c>
      <c r="J37">
        <v>0</v>
      </c>
      <c r="K37">
        <v>0</v>
      </c>
      <c r="L37">
        <v>2339.136701993426</v>
      </c>
      <c r="M37">
        <v>5744.390198968575</v>
      </c>
      <c r="N37">
        <f>-I37-J37+K37+L37+M37</f>
        <v>8083.526900962001</v>
      </c>
      <c r="O37">
        <f>N37/((1+$D$1)^((H37-$H$4)/365))</f>
        <v>1176.2238218554717</v>
      </c>
    </row>
    <row r="38" spans="1:15">
      <c r="A38" s="1">
        <v>53873</v>
      </c>
      <c r="B38">
        <v>0</v>
      </c>
      <c r="C38">
        <v>8308.021948672393</v>
      </c>
      <c r="D38">
        <v>0</v>
      </c>
      <c r="E38">
        <v>0</v>
      </c>
      <c r="F38">
        <f>-B38+C38-D38+E38</f>
        <v>8308.021948672393</v>
      </c>
      <c r="G38">
        <f>F38/((1+$B$1)^((A38-$A$4)/365))</f>
        <v>2243.5073888992947</v>
      </c>
      <c r="H38" s="1">
        <v>53873</v>
      </c>
      <c r="I38">
        <v>0</v>
      </c>
      <c r="J38">
        <v>0</v>
      </c>
      <c r="K38">
        <v>0</v>
      </c>
      <c r="L38">
        <v>2073.111562273373</v>
      </c>
      <c r="M38">
        <v>6234.910386399019</v>
      </c>
      <c r="N38">
        <f>-I38-J38+K38+L38+M38</f>
        <v>8308.021948672393</v>
      </c>
      <c r="O38">
        <f>N38/((1+$D$1)^((H38-$H$4)/365))</f>
        <v>1142.82563250537</v>
      </c>
    </row>
    <row r="39" spans="1:15">
      <c r="A39" s="1">
        <v>54057</v>
      </c>
      <c r="B39">
        <v>0</v>
      </c>
      <c r="C39">
        <v>8445.723969921106</v>
      </c>
      <c r="D39">
        <v>3438.639617232189</v>
      </c>
      <c r="E39">
        <v>0</v>
      </c>
      <c r="F39">
        <f>-B39+C39-D39+E39</f>
        <v>5007.084352688917</v>
      </c>
      <c r="G39">
        <f>F39/((1+$B$1)^((A39-$A$4)/365))</f>
        <v>1300.6652617154712</v>
      </c>
      <c r="H39" s="1">
        <v>54057</v>
      </c>
      <c r="I39">
        <v>0</v>
      </c>
      <c r="J39">
        <v>0</v>
      </c>
      <c r="K39">
        <v>0</v>
      </c>
      <c r="L39">
        <v>1856.026278386273</v>
      </c>
      <c r="M39">
        <v>4160.320720455895</v>
      </c>
      <c r="N39">
        <f>-I39-J39+K39+L39+M39</f>
        <v>6016.3469988421675</v>
      </c>
      <c r="O39">
        <f>N39/((1+$D$1)^((H39-$H$4)/365))</f>
        <v>781.6348901475553</v>
      </c>
    </row>
    <row r="40" spans="1:15">
      <c r="A40" s="1">
        <v>54239</v>
      </c>
      <c r="B40">
        <v>0</v>
      </c>
      <c r="C40">
        <v>8497.719651168572</v>
      </c>
      <c r="D40">
        <v>0</v>
      </c>
      <c r="E40">
        <v>0</v>
      </c>
      <c r="F40">
        <f>-B40+C40-D40+E40</f>
        <v>8497.719651168572</v>
      </c>
      <c r="G40">
        <f>F40/((1+$B$1)^((A40-$A$4)/365))</f>
        <v>2124.3053395178986</v>
      </c>
      <c r="H40" s="1">
        <v>54239</v>
      </c>
      <c r="I40">
        <v>0</v>
      </c>
      <c r="J40">
        <v>0</v>
      </c>
      <c r="K40">
        <v>0</v>
      </c>
      <c r="L40">
        <v>1665.332621321424</v>
      </c>
      <c r="M40">
        <v>6832.387029847148</v>
      </c>
      <c r="N40">
        <f>-I40-J40+K40+L40+M40</f>
        <v>8497.719651168572</v>
      </c>
      <c r="O40">
        <f>N40/((1+$D$1)^((H40-$H$4)/365))</f>
        <v>1043.354443555572</v>
      </c>
    </row>
    <row r="41" spans="1:15">
      <c r="A41" s="1">
        <v>54423</v>
      </c>
      <c r="B41">
        <v>0</v>
      </c>
      <c r="C41">
        <v>8591.101185796797</v>
      </c>
      <c r="D41">
        <v>3522.465668462399</v>
      </c>
      <c r="E41">
        <v>0</v>
      </c>
      <c r="F41">
        <f>-B41+C41-D41+E41</f>
        <v>5068.635517334398</v>
      </c>
      <c r="G41">
        <f>F41/((1+$B$1)^((A41-$A$4)/365))</f>
        <v>1218.8671387329778</v>
      </c>
      <c r="H41" s="1">
        <v>54423</v>
      </c>
      <c r="I41">
        <v>0</v>
      </c>
      <c r="J41">
        <v>0</v>
      </c>
      <c r="K41">
        <v>0</v>
      </c>
      <c r="L41">
        <v>1408.844080673576</v>
      </c>
      <c r="M41">
        <v>4457.526194075477</v>
      </c>
      <c r="N41">
        <f>-I41-J41+K41+L41+M41</f>
        <v>5866.370274749053</v>
      </c>
      <c r="O41">
        <f>N41/((1+$D$1)^((H41-$H$4)/365))</f>
        <v>680.2799405298404</v>
      </c>
    </row>
    <row r="42" spans="1:15">
      <c r="A42" s="1">
        <v>54604</v>
      </c>
      <c r="B42">
        <v>0</v>
      </c>
      <c r="C42">
        <v>8643.666035398759</v>
      </c>
      <c r="D42">
        <v>0</v>
      </c>
      <c r="E42">
        <v>0</v>
      </c>
      <c r="F42">
        <f>-B42+C42-D42+E42</f>
        <v>8643.666035398759</v>
      </c>
      <c r="G42">
        <f>F42/((1+$B$1)^((A42-$A$4)/365))</f>
        <v>2000.7312926463499</v>
      </c>
      <c r="H42" s="1">
        <v>54604</v>
      </c>
      <c r="I42">
        <v>0</v>
      </c>
      <c r="J42">
        <v>0</v>
      </c>
      <c r="K42">
        <v>0</v>
      </c>
      <c r="L42">
        <v>1212.83515156198</v>
      </c>
      <c r="M42">
        <v>7430.830883836779</v>
      </c>
      <c r="N42">
        <f>-I42-J42+K42+L42+M42</f>
        <v>8643.666035398759</v>
      </c>
      <c r="O42">
        <f>N42/((1+$D$1)^((H42-$H$4)/365))</f>
        <v>947.5659076839487</v>
      </c>
    </row>
    <row r="43" spans="1:15">
      <c r="A43" s="1">
        <v>54788</v>
      </c>
      <c r="B43">
        <v>0</v>
      </c>
      <c r="C43">
        <v>8786.931218305923</v>
      </c>
      <c r="D43">
        <v>3607.888088731016</v>
      </c>
      <c r="E43">
        <v>0</v>
      </c>
      <c r="F43">
        <f>-B43+C43-D43+E43</f>
        <v>5179.043129574907</v>
      </c>
      <c r="G43">
        <f>F43/((1+$B$1)^((A43-$A$4)/365))</f>
        <v>1153.1640059171702</v>
      </c>
      <c r="H43" s="1">
        <v>54788</v>
      </c>
      <c r="I43">
        <v>0</v>
      </c>
      <c r="J43">
        <v>0</v>
      </c>
      <c r="K43">
        <v>0</v>
      </c>
      <c r="L43">
        <v>933.2611433963299</v>
      </c>
      <c r="M43">
        <v>4813.869715618921</v>
      </c>
      <c r="N43">
        <f>-I43-J43+K43+L43+M43</f>
        <v>5747.130859015251</v>
      </c>
      <c r="O43">
        <f>N43/((1+$D$1)^((H43-$H$4)/365))</f>
        <v>595.0469820654607</v>
      </c>
    </row>
    <row r="44" spans="1:15">
      <c r="A44" s="1">
        <v>54969</v>
      </c>
      <c r="B44">
        <v>0</v>
      </c>
      <c r="C44">
        <v>8816.539356106729</v>
      </c>
      <c r="D44">
        <v>0</v>
      </c>
      <c r="E44">
        <v>0</v>
      </c>
      <c r="F44">
        <f>-B44+C44-D44+E44</f>
        <v>8816.539356106729</v>
      </c>
      <c r="G44">
        <f>F44/((1+$B$1)^((A44-$A$4)/365))</f>
        <v>1889.5795541659961</v>
      </c>
      <c r="H44" s="1">
        <v>54969</v>
      </c>
      <c r="I44">
        <v>0</v>
      </c>
      <c r="J44">
        <v>0</v>
      </c>
      <c r="K44">
        <v>0</v>
      </c>
      <c r="L44">
        <v>727.0727825753532</v>
      </c>
      <c r="M44">
        <v>8089.466573531376</v>
      </c>
      <c r="N44">
        <f>-I44-J44+K44+L44+M44</f>
        <v>8816.539356106729</v>
      </c>
      <c r="O44">
        <f>N44/((1+$D$1)^((H44-$H$4)/365))</f>
        <v>862.9618087835956</v>
      </c>
    </row>
    <row r="45" spans="1:15">
      <c r="A45" s="1">
        <v>55153</v>
      </c>
      <c r="B45">
        <v>0</v>
      </c>
      <c r="C45">
        <v>8962.669842672036</v>
      </c>
      <c r="D45">
        <v>3695.045850505633</v>
      </c>
      <c r="E45">
        <v>0</v>
      </c>
      <c r="F45">
        <f>-B45+C45-D45+E45</f>
        <v>5267.623992166403</v>
      </c>
      <c r="G45">
        <f>F45/((1+$B$1)^((A45-$A$4)/365))</f>
        <v>1086.0068435808098</v>
      </c>
      <c r="H45" s="1">
        <v>55153</v>
      </c>
      <c r="I45">
        <v>0</v>
      </c>
      <c r="J45">
        <v>0</v>
      </c>
      <c r="K45">
        <v>0</v>
      </c>
      <c r="L45">
        <v>412.8854990777206</v>
      </c>
      <c r="M45">
        <v>5173.866243467645</v>
      </c>
      <c r="N45">
        <f>-I45-J45+K45+L45+M45</f>
        <v>5586.751742545366</v>
      </c>
      <c r="O45">
        <f>N45/((1+$D$1)^((H45-$H$4)/365))</f>
        <v>516.465744495263</v>
      </c>
    </row>
    <row r="46" spans="1:15">
      <c r="A46" s="1">
        <v>55334</v>
      </c>
      <c r="B46">
        <v>0</v>
      </c>
      <c r="C46">
        <v>8992.870143228873</v>
      </c>
      <c r="D46">
        <v>0</v>
      </c>
      <c r="E46">
        <v>0</v>
      </c>
      <c r="F46">
        <f>-B46+C46-D46+E46</f>
        <v>8992.870143228873</v>
      </c>
      <c r="G46">
        <f>F46/((1+$B$1)^((A46-$A$4)/365))</f>
        <v>1784.602912267887</v>
      </c>
      <c r="H46" s="1">
        <v>55334</v>
      </c>
      <c r="I46">
        <v>0</v>
      </c>
      <c r="J46">
        <v>0</v>
      </c>
      <c r="K46">
        <v>3727.846751949044</v>
      </c>
      <c r="L46">
        <v>200.9000176708441</v>
      </c>
      <c r="M46">
        <v>5064.123373608984</v>
      </c>
      <c r="N46">
        <f>-I46-J46+K46+L46+M46</f>
        <v>8992.870143228873</v>
      </c>
      <c r="O46">
        <f>N46/((1+$D$1)^((H46-$H$4)/365))</f>
        <v>785.9116472850611</v>
      </c>
    </row>
    <row r="47" spans="1:15">
      <c r="A47" s="1">
        <v>55518</v>
      </c>
      <c r="B47">
        <v>0</v>
      </c>
      <c r="C47">
        <v>9141.923239525484</v>
      </c>
      <c r="D47">
        <v>3773.332048851086</v>
      </c>
      <c r="E47">
        <v>0</v>
      </c>
      <c r="F47">
        <f>-B47+C47-D47+E47</f>
        <v>5368.591190674398</v>
      </c>
      <c r="G47">
        <f>F47/((1+$B$1)^((A47-$A$4)/365))</f>
        <v>1024.8360027585227</v>
      </c>
      <c r="H47" s="1">
        <v>55518</v>
      </c>
      <c r="I47">
        <v>0</v>
      </c>
      <c r="J47">
        <v>0</v>
      </c>
      <c r="K47">
        <v>5436.766766732922</v>
      </c>
      <c r="L47">
        <v>0</v>
      </c>
      <c r="M47">
        <v>0</v>
      </c>
      <c r="N47">
        <f>-I47-J47+K47+L47+M47</f>
        <v>5436.766766732922</v>
      </c>
      <c r="O47">
        <f>N47/((1+$D$1)^((H47-$H$4)/365))</f>
        <v>448.7503787698864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7">
      <c r="A1" t="s">
        <v>16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9</v>
      </c>
    </row>
    <row r="2" spans="1:7">
      <c r="A2" s="1">
        <v>48214</v>
      </c>
      <c r="B2">
        <v>4</v>
      </c>
      <c r="C2">
        <v>58410.96179501392</v>
      </c>
      <c r="D2">
        <v>20</v>
      </c>
      <c r="E2">
        <f>SUMPRODUCT(('6_dat_BANK_Inputs'!$C$12:$C$51&gt;=B2)*('6_dat_BANK_Inputs'!$C$12:$C$51&lt;=D2)*'6_dat_BANK_Inputs'!$L$12:$L$51/((1+'6_dat_BANK_Inputs'!$B$2)^(('6_dat_BANK_Inputs'!$A$12:$A$51-A2)/365)))/C2</f>
        <v>1.3478328676784694</v>
      </c>
      <c r="F2">
        <v>1.34783286767847</v>
      </c>
      <c r="G2">
        <f>E2-F2</f>
        <v>-6.661338147750939e-16</v>
      </c>
    </row>
    <row r="3" spans="1:7">
      <c r="A3" s="1">
        <v>48395</v>
      </c>
      <c r="B3">
        <v>5</v>
      </c>
      <c r="C3">
        <v>58401.5132408575</v>
      </c>
      <c r="D3">
        <v>20</v>
      </c>
      <c r="E3">
        <f>SUMPRODUCT(('6_dat_BANK_Inputs'!$C$12:$C$51&gt;=B3)*('6_dat_BANK_Inputs'!$C$12:$C$51&lt;=D3)*'6_dat_BANK_Inputs'!$L$12:$L$51/((1+'6_dat_BANK_Inputs'!$B$2)^(('6_dat_BANK_Inputs'!$A$12:$A$51-A3)/365)))/C3</f>
        <v>1.3448881908132981</v>
      </c>
      <c r="F3">
        <v>1.344888190813299</v>
      </c>
      <c r="G3">
        <f>E3-F3</f>
        <v>-4.440892098500626e-16</v>
      </c>
    </row>
    <row r="4" spans="1:7">
      <c r="A4" s="1">
        <v>48579</v>
      </c>
      <c r="B4">
        <v>6</v>
      </c>
      <c r="C4">
        <v>58401.5132408575</v>
      </c>
      <c r="D4">
        <v>20</v>
      </c>
      <c r="E4">
        <f>SUMPRODUCT(('6_dat_BANK_Inputs'!$C$12:$C$51&gt;=B4)*('6_dat_BANK_Inputs'!$C$12:$C$51&lt;=D4)*'6_dat_BANK_Inputs'!$L$12:$L$51/((1+'6_dat_BANK_Inputs'!$B$2)^(('6_dat_BANK_Inputs'!$A$12:$A$51-A4)/365)))/C4</f>
        <v>1.34181491404665</v>
      </c>
      <c r="F4">
        <v>1.34181491404665</v>
      </c>
      <c r="G4">
        <f>E4-F4</f>
        <v>-2.220446049250313e-16</v>
      </c>
    </row>
    <row r="5" spans="1:7">
      <c r="A5" s="1">
        <v>48760</v>
      </c>
      <c r="B5">
        <v>7</v>
      </c>
      <c r="C5">
        <v>56840.61468684782</v>
      </c>
      <c r="D5">
        <v>20</v>
      </c>
      <c r="E5">
        <f>SUMPRODUCT(('6_dat_BANK_Inputs'!$C$12:$C$51&gt;=B5)*('6_dat_BANK_Inputs'!$C$12:$C$51&lt;=D5)*'6_dat_BANK_Inputs'!$L$12:$L$51/((1+'6_dat_BANK_Inputs'!$B$2)^(('6_dat_BANK_Inputs'!$A$12:$A$51-A5)/365)))/C5</f>
        <v>1.3397638259564828</v>
      </c>
      <c r="F5">
        <v>1.339763825956483</v>
      </c>
      <c r="G5">
        <f>E5-F5</f>
        <v>-2.220446049250313e-16</v>
      </c>
    </row>
    <row r="6" spans="1:7">
      <c r="A6" s="1">
        <v>48944</v>
      </c>
      <c r="B6">
        <v>8</v>
      </c>
      <c r="C6">
        <v>55205.97733043029</v>
      </c>
      <c r="D6">
        <v>20</v>
      </c>
      <c r="E6">
        <f>SUMPRODUCT(('6_dat_BANK_Inputs'!$C$12:$C$51&gt;=B6)*('6_dat_BANK_Inputs'!$C$12:$C$51&lt;=D6)*'6_dat_BANK_Inputs'!$L$12:$L$51/((1+'6_dat_BANK_Inputs'!$B$2)^(('6_dat_BANK_Inputs'!$A$12:$A$51-A6)/365)))/C6</f>
        <v>1.3376326054201435</v>
      </c>
      <c r="F6">
        <v>1.337632605420144</v>
      </c>
      <c r="G6">
        <f>E6-F6</f>
        <v>0.0</v>
      </c>
    </row>
    <row r="7" spans="1:7">
      <c r="A7" s="1">
        <v>49125</v>
      </c>
      <c r="B7">
        <v>9</v>
      </c>
      <c r="C7">
        <v>51931.07211933206</v>
      </c>
      <c r="D7">
        <v>20</v>
      </c>
      <c r="E7">
        <f>SUMPRODUCT(('6_dat_BANK_Inputs'!$C$12:$C$51&gt;=B7)*('6_dat_BANK_Inputs'!$C$12:$C$51&lt;=D7)*'6_dat_BANK_Inputs'!$L$12:$L$51/((1+'6_dat_BANK_Inputs'!$B$2)^(('6_dat_BANK_Inputs'!$A$12:$A$51-A7)/365)))/C7</f>
        <v>1.3365759631960117</v>
      </c>
      <c r="F7">
        <v>1.336575963196012</v>
      </c>
      <c r="G7">
        <f>E7-F7</f>
        <v>-2.220446049250313e-16</v>
      </c>
    </row>
    <row r="8" spans="1:7">
      <c r="A8" s="1">
        <v>49309</v>
      </c>
      <c r="B8">
        <v>10</v>
      </c>
      <c r="C8">
        <v>48501.45628489112</v>
      </c>
      <c r="D8">
        <v>20</v>
      </c>
      <c r="E8">
        <f>SUMPRODUCT(('6_dat_BANK_Inputs'!$C$12:$C$51&gt;=B8)*('6_dat_BANK_Inputs'!$C$12:$C$51&lt;=D8)*'6_dat_BANK_Inputs'!$L$12:$L$51/((1+'6_dat_BANK_Inputs'!$B$2)^(('6_dat_BANK_Inputs'!$A$12:$A$51-A8)/365)))/C8</f>
        <v>1.3356282294135604</v>
      </c>
      <c r="F8">
        <v>1.335628229413561</v>
      </c>
      <c r="G8">
        <f>E8-F8</f>
        <v>-2.220446049250313e-16</v>
      </c>
    </row>
    <row r="9" spans="1:7">
      <c r="A9" s="1">
        <v>49490</v>
      </c>
      <c r="B9">
        <v>11</v>
      </c>
      <c r="C9">
        <v>44925.4923117078</v>
      </c>
      <c r="D9">
        <v>20</v>
      </c>
      <c r="E9">
        <f>SUMPRODUCT(('6_dat_BANK_Inputs'!$C$12:$C$51&gt;=B9)*('6_dat_BANK_Inputs'!$C$12:$C$51&lt;=D9)*'6_dat_BANK_Inputs'!$L$12:$L$51/((1+'6_dat_BANK_Inputs'!$B$2)^(('6_dat_BANK_Inputs'!$A$12:$A$51-A9)/365)))/C9</f>
        <v>1.3349227322017665</v>
      </c>
      <c r="F9">
        <v>1.334922732201767</v>
      </c>
      <c r="G9">
        <f>E9-F9</f>
        <v>-2.220446049250313e-16</v>
      </c>
    </row>
    <row r="10" spans="1:7">
      <c r="A10" s="1">
        <v>49674</v>
      </c>
      <c r="B10">
        <v>12</v>
      </c>
      <c r="C10">
        <v>41180.59532224437</v>
      </c>
      <c r="D10">
        <v>20</v>
      </c>
      <c r="E10">
        <f>SUMPRODUCT(('6_dat_BANK_Inputs'!$C$12:$C$51&gt;=B10)*('6_dat_BANK_Inputs'!$C$12:$C$51&lt;=D10)*'6_dat_BANK_Inputs'!$L$12:$L$51/((1+'6_dat_BANK_Inputs'!$B$2)^(('6_dat_BANK_Inputs'!$A$12:$A$51-A10)/365)))/C10</f>
        <v>1.3344483660864148</v>
      </c>
      <c r="F10">
        <v>1.334448366086415</v>
      </c>
      <c r="G10">
        <f>E10-F10</f>
        <v>-2.220446049250313e-16</v>
      </c>
    </row>
    <row r="11" spans="1:7">
      <c r="A11" s="1">
        <v>49856</v>
      </c>
      <c r="B11">
        <v>13</v>
      </c>
      <c r="C11">
        <v>37275.59085244023</v>
      </c>
      <c r="D11">
        <v>20</v>
      </c>
      <c r="E11">
        <f>SUMPRODUCT(('6_dat_BANK_Inputs'!$C$12:$C$51&gt;=B11)*('6_dat_BANK_Inputs'!$C$12:$C$51&lt;=D11)*'6_dat_BANK_Inputs'!$L$12:$L$51/((1+'6_dat_BANK_Inputs'!$B$2)^(('6_dat_BANK_Inputs'!$A$12:$A$51-A11)/365)))/C11</f>
        <v>1.334380878763428</v>
      </c>
      <c r="F11">
        <v>1.334380878763428</v>
      </c>
      <c r="G11">
        <f>E11-F11</f>
        <v>-2.220446049250313e-16</v>
      </c>
    </row>
    <row r="12" spans="1:7">
      <c r="A12" s="1">
        <v>50040</v>
      </c>
      <c r="B12">
        <v>14</v>
      </c>
      <c r="C12">
        <v>33207.92077519796</v>
      </c>
      <c r="D12">
        <v>20</v>
      </c>
      <c r="E12">
        <f>SUMPRODUCT(('6_dat_BANK_Inputs'!$C$12:$C$51&gt;=B12)*('6_dat_BANK_Inputs'!$C$12:$C$51&lt;=D12)*'6_dat_BANK_Inputs'!$L$12:$L$51/((1+'6_dat_BANK_Inputs'!$B$2)^(('6_dat_BANK_Inputs'!$A$12:$A$51-A12)/365)))/C12</f>
        <v>1.3348198305634582</v>
      </c>
      <c r="F12">
        <v>1.334819830563458</v>
      </c>
      <c r="G12">
        <f>E12-F12</f>
        <v>0.0</v>
      </c>
    </row>
    <row r="13" spans="1:7">
      <c r="A13" s="1">
        <v>50221</v>
      </c>
      <c r="B13">
        <v>15</v>
      </c>
      <c r="C13">
        <v>28967.02252813268</v>
      </c>
      <c r="D13">
        <v>20</v>
      </c>
      <c r="E13">
        <f>SUMPRODUCT(('6_dat_BANK_Inputs'!$C$12:$C$51&gt;=B13)*('6_dat_BANK_Inputs'!$C$12:$C$51&lt;=D13)*'6_dat_BANK_Inputs'!$L$12:$L$51/((1+'6_dat_BANK_Inputs'!$B$2)^(('6_dat_BANK_Inputs'!$A$12:$A$51-A13)/365)))/C13</f>
        <v>1.3361321023804678</v>
      </c>
      <c r="F13">
        <v>1.336132102380468</v>
      </c>
      <c r="G13">
        <f>E13-F13</f>
        <v>-2.220446049250313e-16</v>
      </c>
    </row>
    <row r="14" spans="1:7">
      <c r="A14" s="1">
        <v>50405</v>
      </c>
      <c r="B14">
        <v>16</v>
      </c>
      <c r="C14">
        <v>24525.77893699057</v>
      </c>
      <c r="D14">
        <v>20</v>
      </c>
      <c r="E14">
        <f>SUMPRODUCT(('6_dat_BANK_Inputs'!$C$12:$C$51&gt;=B14)*('6_dat_BANK_Inputs'!$C$12:$C$51&lt;=D14)*'6_dat_BANK_Inputs'!$L$12:$L$51/((1+'6_dat_BANK_Inputs'!$B$2)^(('6_dat_BANK_Inputs'!$A$12:$A$51-A14)/365)))/C14</f>
        <v>1.3387623462262974</v>
      </c>
      <c r="F14">
        <v>1.338762346226297</v>
      </c>
      <c r="G14">
        <f>E14-F14</f>
        <v>0.0</v>
      </c>
    </row>
    <row r="15" spans="1:7">
      <c r="A15" s="1">
        <v>50586</v>
      </c>
      <c r="B15">
        <v>17</v>
      </c>
      <c r="C15">
        <v>19918.1160006637</v>
      </c>
      <c r="D15">
        <v>20</v>
      </c>
      <c r="E15">
        <f>SUMPRODUCT(('6_dat_BANK_Inputs'!$C$12:$C$51&gt;=B15)*('6_dat_BANK_Inputs'!$C$12:$C$51&lt;=D15)*'6_dat_BANK_Inputs'!$L$12:$L$51/((1+'6_dat_BANK_Inputs'!$B$2)^(('6_dat_BANK_Inputs'!$A$12:$A$51-A15)/365)))/C15</f>
        <v>1.3437939318526393</v>
      </c>
      <c r="F15">
        <v>1.343793931852639</v>
      </c>
      <c r="G15">
        <f>E15-F15</f>
        <v>0.0</v>
      </c>
    </row>
    <row r="16" spans="1:7">
      <c r="A16" s="1">
        <v>50770</v>
      </c>
      <c r="B16">
        <v>18</v>
      </c>
      <c r="C16">
        <v>15092.78129703912</v>
      </c>
      <c r="D16">
        <v>20</v>
      </c>
      <c r="E16">
        <f>SUMPRODUCT(('6_dat_BANK_Inputs'!$C$12:$C$51&gt;=B16)*('6_dat_BANK_Inputs'!$C$12:$C$51&lt;=D16)*'6_dat_BANK_Inputs'!$L$12:$L$51/((1+'6_dat_BANK_Inputs'!$B$2)^(('6_dat_BANK_Inputs'!$A$12:$A$51-A16)/365)))/C16</f>
        <v>1.353700006199905</v>
      </c>
      <c r="F16">
        <v>1.353700006199905</v>
      </c>
      <c r="G16">
        <f>E16-F16</f>
        <v>0.0</v>
      </c>
    </row>
    <row r="17" spans="1:7">
      <c r="A17" s="1">
        <v>50951</v>
      </c>
      <c r="B17">
        <v>19</v>
      </c>
      <c r="C17">
        <v>10093.60578655519</v>
      </c>
      <c r="D17">
        <v>20</v>
      </c>
      <c r="E17">
        <f>SUMPRODUCT(('6_dat_BANK_Inputs'!$C$12:$C$51&gt;=B17)*('6_dat_BANK_Inputs'!$C$12:$C$51&lt;=D17)*'6_dat_BANK_Inputs'!$L$12:$L$51/((1+'6_dat_BANK_Inputs'!$B$2)^(('6_dat_BANK_Inputs'!$A$12:$A$51-A17)/365)))/C17</f>
        <v>1.3761186905939753</v>
      </c>
      <c r="F17">
        <v>1.376118690593975</v>
      </c>
      <c r="G17">
        <f>E17-F17</f>
        <v>0.0</v>
      </c>
    </row>
    <row r="18" spans="1:7">
      <c r="A18" s="1">
        <v>51135</v>
      </c>
      <c r="B18">
        <v>20</v>
      </c>
      <c r="C18">
        <v>4858.262964478378</v>
      </c>
      <c r="D18">
        <v>20</v>
      </c>
      <c r="E18">
        <f>SUMPRODUCT(('6_dat_BANK_Inputs'!$C$12:$C$51&gt;=B18)*('6_dat_BANK_Inputs'!$C$12:$C$51&lt;=D18)*'6_dat_BANK_Inputs'!$L$12:$L$51/((1+'6_dat_BANK_Inputs'!$B$2)^(('6_dat_BANK_Inputs'!$A$12:$A$51-A18)/365)))/C18</f>
        <v>1.4535354549726873</v>
      </c>
      <c r="F18">
        <v>1.453535454972688</v>
      </c>
      <c r="G18">
        <f>E18-F18</f>
        <v>-2.220446049250313e-16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51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6" width="21.7109375" customWidth="1"/>
  </cols>
  <sheetData>
    <row r="1" spans="1:16">
      <c r="A1" t="s">
        <v>12</v>
      </c>
      <c r="B1" t="s">
        <v>80</v>
      </c>
      <c r="C1" t="s">
        <v>81</v>
      </c>
    </row>
    <row r="2" spans="1:16">
      <c r="A2" t="s">
        <v>15</v>
      </c>
      <c r="B2">
        <v>0.055</v>
      </c>
    </row>
    <row r="3" spans="1:16">
      <c r="A3" t="s">
        <v>16</v>
      </c>
      <c r="B3" s="1">
        <v>47849</v>
      </c>
    </row>
    <row r="4" spans="1:16">
      <c r="A4" t="s">
        <v>17</v>
      </c>
      <c r="B4" s="1">
        <v>51501</v>
      </c>
    </row>
    <row r="5" spans="1:16">
      <c r="A5" t="s">
        <v>18</v>
      </c>
      <c r="B5" s="1">
        <v>50586</v>
      </c>
    </row>
    <row r="6" spans="1:16">
      <c r="A6" t="s">
        <v>19</v>
      </c>
      <c r="B6" s="1">
        <v>55153</v>
      </c>
    </row>
    <row r="8" spans="1:16">
      <c r="A8" t="s">
        <v>20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</row>
    <row r="12" spans="1:16">
      <c r="A12" s="1">
        <v>48029</v>
      </c>
      <c r="B12" s="1">
        <v>47849</v>
      </c>
      <c r="C12">
        <v>2</v>
      </c>
      <c r="D12">
        <v>334.2512387059166</v>
      </c>
      <c r="E12">
        <v>334.2512387059166</v>
      </c>
      <c r="F12">
        <v>334.2512387059166</v>
      </c>
      <c r="G12">
        <v>0</v>
      </c>
      <c r="H12">
        <v>0</v>
      </c>
      <c r="I12">
        <f>F12+G12-H12</f>
        <v>334.25123870591665</v>
      </c>
      <c r="J12">
        <f>I12-D12</f>
        <v>0.0</v>
      </c>
      <c r="K12">
        <v>6477.352578925075</v>
      </c>
      <c r="L12">
        <f>I12</f>
        <v>334.25123870591665</v>
      </c>
      <c r="M12">
        <f>(1+$B$2)^((A12-$B$3)/365)</f>
        <v>1.0267553309283675</v>
      </c>
      <c r="N12">
        <f>IF(A12&lt;=$B$4,L12/M12,0)</f>
        <v>325.541274184274</v>
      </c>
      <c r="O12">
        <f>IF(A12&lt;=$B$5,L12/M12,0)</f>
        <v>325.541274184274</v>
      </c>
      <c r="P12">
        <f>IF(A12&lt;=$B$6,L12/M12,0)</f>
        <v>325.541274184274</v>
      </c>
    </row>
    <row r="13" spans="1:16">
      <c r="A13" s="1">
        <v>48213</v>
      </c>
      <c r="B13" s="1">
        <v>48029</v>
      </c>
      <c r="C13">
        <v>3</v>
      </c>
      <c r="D13">
        <v>339.7913144855728</v>
      </c>
      <c r="E13">
        <v>339.7913144855728</v>
      </c>
      <c r="F13">
        <v>339.7913144855728</v>
      </c>
      <c r="G13">
        <v>0</v>
      </c>
      <c r="H13">
        <v>0</v>
      </c>
      <c r="I13">
        <f>F13+G13-H13</f>
        <v>339.7913144855728</v>
      </c>
      <c r="J13">
        <f>I13-D13</f>
        <v>0.0</v>
      </c>
      <c r="K13">
        <v>6414.556818826738</v>
      </c>
      <c r="L13">
        <f>I13</f>
        <v>339.7913144855728</v>
      </c>
      <c r="M13">
        <f>(1+$B$2)^((A13-$B$3)/365)</f>
        <v>1.0548452565302306</v>
      </c>
      <c r="N13">
        <f>IF(A13&lt;=$B$4,L13/M13,0)</f>
        <v>322.12432333750064</v>
      </c>
      <c r="O13">
        <f>IF(A13&lt;=$B$5,L13/M13,0)</f>
        <v>322.12432333750064</v>
      </c>
      <c r="P13">
        <f>IF(A13&lt;=$B$6,L13/M13,0)</f>
        <v>322.12432333750064</v>
      </c>
    </row>
    <row r="14" spans="1:16">
      <c r="A14" s="1">
        <v>48395</v>
      </c>
      <c r="B14" s="1">
        <v>48213</v>
      </c>
      <c r="C14">
        <v>4</v>
      </c>
      <c r="D14">
        <v>618.1524938960584</v>
      </c>
      <c r="E14">
        <v>618.1524938960584</v>
      </c>
      <c r="F14">
        <v>618.1524938960584</v>
      </c>
      <c r="G14">
        <v>0</v>
      </c>
      <c r="H14">
        <v>0</v>
      </c>
      <c r="I14">
        <f>F14+G14-H14</f>
        <v>618.1524938960584</v>
      </c>
      <c r="J14">
        <f>I14-D14</f>
        <v>0.0</v>
      </c>
      <c r="K14">
        <v>6349.89196038442</v>
      </c>
      <c r="L14">
        <f>I14</f>
        <v>618.1524938960584</v>
      </c>
      <c r="M14">
        <f>(1+$B$2)^((A14-$B$3)/365)</f>
        <v>1.083385781119825</v>
      </c>
      <c r="N14">
        <f>IF(A14&lt;=$B$4,L14/M14,0)</f>
        <v>570.5746786312025</v>
      </c>
      <c r="O14">
        <f>IF(A14&lt;=$B$5,L14/M14,0)</f>
        <v>570.5746786312025</v>
      </c>
      <c r="P14">
        <f>IF(A14&lt;=$B$6,L14/M14,0)</f>
        <v>570.5746786312025</v>
      </c>
    </row>
    <row r="15" spans="1:16">
      <c r="A15" s="1">
        <v>48579</v>
      </c>
      <c r="B15" s="1">
        <v>48395</v>
      </c>
      <c r="C15">
        <v>5</v>
      </c>
      <c r="D15">
        <v>624.9453784443666</v>
      </c>
      <c r="E15">
        <v>624.9453784443666</v>
      </c>
      <c r="F15">
        <v>624.9453784443666</v>
      </c>
      <c r="G15">
        <v>0</v>
      </c>
      <c r="H15">
        <v>0</v>
      </c>
      <c r="I15">
        <f>F15+G15-H15</f>
        <v>624.9453784443666</v>
      </c>
      <c r="J15">
        <f>I15-D15</f>
        <v>0.0</v>
      </c>
      <c r="K15">
        <v>6067.003431467831</v>
      </c>
      <c r="L15">
        <f>I15</f>
        <v>624.9453784443666</v>
      </c>
      <c r="M15">
        <f>(1+$B$2)^((A15-$B$3)/365)</f>
        <v>1.113025</v>
      </c>
      <c r="N15">
        <f>IF(A15&lt;=$B$4,L15/M15,0)</f>
        <v>561.4836849525991</v>
      </c>
      <c r="O15">
        <f>IF(A15&lt;=$B$5,L15/M15,0)</f>
        <v>561.4836849525991</v>
      </c>
      <c r="P15">
        <f>IF(A15&lt;=$B$6,L15/M15,0)</f>
        <v>561.4836849525991</v>
      </c>
    </row>
    <row r="16" spans="1:16">
      <c r="A16" s="1">
        <v>48760</v>
      </c>
      <c r="B16" s="1">
        <v>48579</v>
      </c>
      <c r="C16">
        <v>6</v>
      </c>
      <c r="D16">
        <v>909.7832533955111</v>
      </c>
      <c r="E16">
        <v>909.7832533955111</v>
      </c>
      <c r="F16">
        <v>909.7832533955111</v>
      </c>
      <c r="G16">
        <v>0</v>
      </c>
      <c r="H16">
        <v>0</v>
      </c>
      <c r="I16">
        <f>F16+G16-H16</f>
        <v>909.7832533955111</v>
      </c>
      <c r="J16">
        <f>I16-D16</f>
        <v>0.0</v>
      </c>
      <c r="K16">
        <v>5772.330989178203</v>
      </c>
      <c r="L16">
        <f>I16</f>
        <v>909.7832533955111</v>
      </c>
      <c r="M16">
        <f>(1+$B$2)^((A16-$B$3)/365)</f>
        <v>1.1429719990814153</v>
      </c>
      <c r="N16">
        <f>IF(A16&lt;=$B$4,L16/M16,0)</f>
        <v>795.9803513355414</v>
      </c>
      <c r="O16">
        <f>IF(A16&lt;=$B$5,L16/M16,0)</f>
        <v>795.9803513355414</v>
      </c>
      <c r="P16">
        <f>IF(A16&lt;=$B$6,L16/M16,0)</f>
        <v>795.9803513355414</v>
      </c>
    </row>
    <row r="17" spans="1:16">
      <c r="A17" s="1">
        <v>48944</v>
      </c>
      <c r="B17" s="1">
        <v>48760</v>
      </c>
      <c r="C17">
        <v>7</v>
      </c>
      <c r="D17">
        <v>924.8625338385307</v>
      </c>
      <c r="E17">
        <v>924.8625338385307</v>
      </c>
      <c r="F17">
        <v>924.8625338385307</v>
      </c>
      <c r="G17">
        <v>0</v>
      </c>
      <c r="H17">
        <v>0</v>
      </c>
      <c r="I17">
        <f>F17+G17-H17</f>
        <v>924.8625338385307</v>
      </c>
      <c r="J17">
        <f>I17-D17</f>
        <v>0.0</v>
      </c>
      <c r="K17">
        <v>5246.629702175711</v>
      </c>
      <c r="L17">
        <f>I17</f>
        <v>924.8625338385307</v>
      </c>
      <c r="M17">
        <f>(1+$B$2)^((A17-$B$3)/365)</f>
        <v>1.1742413749999998</v>
      </c>
      <c r="N17">
        <f>IF(A17&lt;=$B$4,L17/M17,0)</f>
        <v>787.6255713085658</v>
      </c>
      <c r="O17">
        <f>IF(A17&lt;=$B$5,L17/M17,0)</f>
        <v>787.6255713085658</v>
      </c>
      <c r="P17">
        <f>IF(A17&lt;=$B$6,L17/M17,0)</f>
        <v>787.6255713085658</v>
      </c>
    </row>
    <row r="18" spans="1:16">
      <c r="A18" s="1">
        <v>49125</v>
      </c>
      <c r="B18" s="1">
        <v>48944</v>
      </c>
      <c r="C18">
        <v>8</v>
      </c>
      <c r="D18">
        <v>927.9789184634224</v>
      </c>
      <c r="E18">
        <v>927.9789184634224</v>
      </c>
      <c r="F18">
        <v>927.9789184634224</v>
      </c>
      <c r="G18">
        <v>0</v>
      </c>
      <c r="H18">
        <v>0</v>
      </c>
      <c r="I18">
        <f>F18+G18-H18</f>
        <v>927.9789184634224</v>
      </c>
      <c r="J18">
        <f>I18-D18</f>
        <v>0.0</v>
      </c>
      <c r="K18">
        <v>4696.093628038435</v>
      </c>
      <c r="L18">
        <f>I18</f>
        <v>927.9789184634224</v>
      </c>
      <c r="M18">
        <f>(1+$B$2)^((A18-$B$3)/365)</f>
        <v>1.205835459030893</v>
      </c>
      <c r="N18">
        <f>IF(A18&lt;=$B$4,L18/M18,0)</f>
        <v>769.5734202485812</v>
      </c>
      <c r="O18">
        <f>IF(A18&lt;=$B$5,L18/M18,0)</f>
        <v>769.5734202485812</v>
      </c>
      <c r="P18">
        <f>IF(A18&lt;=$B$6,L18/M18,0)</f>
        <v>769.5734202485812</v>
      </c>
    </row>
    <row r="19" spans="1:16">
      <c r="A19" s="1">
        <v>49309</v>
      </c>
      <c r="B19" s="1">
        <v>49125</v>
      </c>
      <c r="C19">
        <v>9</v>
      </c>
      <c r="D19">
        <v>891.5461464708451</v>
      </c>
      <c r="E19">
        <v>891.5461464708451</v>
      </c>
      <c r="F19">
        <v>943.359784515302</v>
      </c>
      <c r="G19">
        <v>0</v>
      </c>
      <c r="H19">
        <v>51.81363804445689</v>
      </c>
      <c r="I19">
        <f>F19+G19-H19</f>
        <v>891.5461464708451</v>
      </c>
      <c r="J19">
        <f>I19-D19</f>
        <v>0.0</v>
      </c>
      <c r="K19">
        <v>4123.929181871372</v>
      </c>
      <c r="L19">
        <f>I19</f>
        <v>891.5461464708451</v>
      </c>
      <c r="M19">
        <f>(1+$B$2)^((A19-$B$3)/365)</f>
        <v>1.2388246506249998</v>
      </c>
      <c r="N19">
        <f>IF(A19&lt;=$B$4,L19/M19,0)</f>
        <v>719.6709768578231</v>
      </c>
      <c r="O19">
        <f>IF(A19&lt;=$B$5,L19/M19,0)</f>
        <v>719.6709768578231</v>
      </c>
      <c r="P19">
        <f>IF(A19&lt;=$B$6,L19/M19,0)</f>
        <v>719.6709768578231</v>
      </c>
    </row>
    <row r="20" spans="1:16">
      <c r="A20" s="1">
        <v>49490</v>
      </c>
      <c r="B20" s="1">
        <v>49309</v>
      </c>
      <c r="C20">
        <v>10</v>
      </c>
      <c r="D20">
        <v>946.5384968326905</v>
      </c>
      <c r="E20">
        <v>946.5384968326905</v>
      </c>
      <c r="F20">
        <v>946.5384968326905</v>
      </c>
      <c r="G20">
        <v>0</v>
      </c>
      <c r="H20">
        <v>0</v>
      </c>
      <c r="I20">
        <f>F20+G20-H20</f>
        <v>946.5384968326905</v>
      </c>
      <c r="J20">
        <f>I20-D20</f>
        <v>0.0</v>
      </c>
      <c r="K20">
        <v>3564.591615394264</v>
      </c>
      <c r="L20">
        <f>I20</f>
        <v>946.5384968326905</v>
      </c>
      <c r="M20">
        <f>(1+$B$2)^((A20-$B$3)/365)</f>
        <v>1.272156409277592</v>
      </c>
      <c r="N20">
        <f>IF(A20&lt;=$B$4,L20/M20,0)</f>
        <v>744.0425484867798</v>
      </c>
      <c r="O20">
        <f>IF(A20&lt;=$B$5,L20/M20,0)</f>
        <v>744.0425484867798</v>
      </c>
      <c r="P20">
        <f>IF(A20&lt;=$B$6,L20/M20,0)</f>
        <v>744.0425484867798</v>
      </c>
    </row>
    <row r="21" spans="1:16">
      <c r="A21" s="1">
        <v>49674</v>
      </c>
      <c r="B21" s="1">
        <v>49490</v>
      </c>
      <c r="C21">
        <v>11</v>
      </c>
      <c r="D21">
        <v>787.3793862641938</v>
      </c>
      <c r="E21">
        <v>787.3793862641938</v>
      </c>
      <c r="F21">
        <v>962.2269802056078</v>
      </c>
      <c r="G21">
        <v>0</v>
      </c>
      <c r="H21">
        <v>174.8475939414139</v>
      </c>
      <c r="I21">
        <f>F21+G21-H21</f>
        <v>787.3793862641938</v>
      </c>
      <c r="J21">
        <f>I21-D21</f>
        <v>0.0</v>
      </c>
      <c r="K21">
        <v>2944.016926433512</v>
      </c>
      <c r="L21">
        <f>I21</f>
        <v>787.3793862641938</v>
      </c>
      <c r="M21">
        <f>(1+$B$2)^((A21-$B$3)/365)</f>
        <v>1.3069600064093747</v>
      </c>
      <c r="N21">
        <f>IF(A21&lt;=$B$4,L21/M21,0)</f>
        <v>602.4510179369372</v>
      </c>
      <c r="O21">
        <f>IF(A21&lt;=$B$5,L21/M21,0)</f>
        <v>602.4510179369372</v>
      </c>
      <c r="P21">
        <f>IF(A21&lt;=$B$6,L21/M21,0)</f>
        <v>602.4510179369372</v>
      </c>
    </row>
    <row r="22" spans="1:16">
      <c r="A22" s="1">
        <v>49856</v>
      </c>
      <c r="B22" s="1">
        <v>49674</v>
      </c>
      <c r="C22">
        <v>12</v>
      </c>
      <c r="D22">
        <v>968.1508829436871</v>
      </c>
      <c r="E22">
        <v>968.1508829436871</v>
      </c>
      <c r="F22">
        <v>968.1508829436871</v>
      </c>
      <c r="G22">
        <v>0</v>
      </c>
      <c r="H22">
        <v>0</v>
      </c>
      <c r="I22">
        <f>F22+G22-H22</f>
        <v>968.1508829436871</v>
      </c>
      <c r="J22">
        <f>I22-D22</f>
        <v>0.0</v>
      </c>
      <c r="K22">
        <v>2428.623661205016</v>
      </c>
      <c r="L22">
        <f>I22</f>
        <v>968.1508829436871</v>
      </c>
      <c r="M22">
        <f>(1+$B$2)^((A22-$B$3)/365)</f>
        <v>1.3423218985633392</v>
      </c>
      <c r="N22">
        <f>IF(A22&lt;=$B$4,L22/M22,0)</f>
        <v>721.2509041086792</v>
      </c>
      <c r="O22">
        <f>IF(A22&lt;=$B$5,L22/M22,0)</f>
        <v>721.2509041086792</v>
      </c>
      <c r="P22">
        <f>IF(A22&lt;=$B$6,L22/M22,0)</f>
        <v>721.2509041086792</v>
      </c>
    </row>
    <row r="23" spans="1:16">
      <c r="A23" s="1">
        <v>50040</v>
      </c>
      <c r="B23" s="1">
        <v>49856</v>
      </c>
      <c r="C23">
        <v>13</v>
      </c>
      <c r="D23">
        <v>716.9945182344934</v>
      </c>
      <c r="E23">
        <v>716.9945182344934</v>
      </c>
      <c r="F23">
        <v>978.789903635376</v>
      </c>
      <c r="G23">
        <v>0</v>
      </c>
      <c r="H23">
        <v>261.7953854008827</v>
      </c>
      <c r="I23">
        <f>F23+G23-H23</f>
        <v>716.9945182344934</v>
      </c>
      <c r="J23">
        <f>I23-D23</f>
        <v>0.0</v>
      </c>
      <c r="K23">
        <v>1757.560463843347</v>
      </c>
      <c r="L23">
        <f>I23</f>
        <v>716.9945182344934</v>
      </c>
      <c r="M23">
        <f>(1+$B$2)^((A23-$B$3)/365)</f>
        <v>1.3790450799568101</v>
      </c>
      <c r="N23">
        <f>IF(A23&lt;=$B$4,L23/M23,0)</f>
        <v>519.9210153862039</v>
      </c>
      <c r="O23">
        <f>IF(A23&lt;=$B$5,L23/M23,0)</f>
        <v>519.9210153862039</v>
      </c>
      <c r="P23">
        <f>IF(A23&lt;=$B$6,L23/M23,0)</f>
        <v>519.9210153862039</v>
      </c>
    </row>
    <row r="24" spans="1:16">
      <c r="A24" s="1">
        <v>50221</v>
      </c>
      <c r="B24" s="1">
        <v>50040</v>
      </c>
      <c r="C24">
        <v>14</v>
      </c>
      <c r="D24">
        <v>984.7786521047312</v>
      </c>
      <c r="E24">
        <v>984.7786521047312</v>
      </c>
      <c r="F24">
        <v>984.7786521047312</v>
      </c>
      <c r="G24">
        <v>0</v>
      </c>
      <c r="H24">
        <v>0</v>
      </c>
      <c r="I24">
        <f>F24+G24-H24</f>
        <v>984.7786521047312</v>
      </c>
      <c r="J24">
        <f>I24-D24</f>
        <v>0.0</v>
      </c>
      <c r="K24">
        <v>1259.924739938745</v>
      </c>
      <c r="L24">
        <f>I24</f>
        <v>984.7786521047312</v>
      </c>
      <c r="M24">
        <f>(1+$B$2)^((A24-$B$3)/365)</f>
        <v>1.4161496029843228</v>
      </c>
      <c r="N24">
        <f>IF(A24&lt;=$B$4,L24/M24,0)</f>
        <v>695.3916803912934</v>
      </c>
      <c r="O24">
        <f>IF(A24&lt;=$B$5,L24/M24,0)</f>
        <v>695.3916803912934</v>
      </c>
      <c r="P24">
        <f>IF(A24&lt;=$B$6,L24/M24,0)</f>
        <v>695.3916803912934</v>
      </c>
    </row>
    <row r="25" spans="1:16">
      <c r="A25" s="1">
        <v>50405</v>
      </c>
      <c r="B25" s="1">
        <v>50221</v>
      </c>
      <c r="C25">
        <v>15</v>
      </c>
      <c r="D25">
        <v>711.3225191084493</v>
      </c>
      <c r="E25">
        <v>711.3225191084493</v>
      </c>
      <c r="F25">
        <v>1001.100950205914</v>
      </c>
      <c r="G25">
        <v>0</v>
      </c>
      <c r="H25">
        <v>289.7784310974648</v>
      </c>
      <c r="I25">
        <f>F25+G25-H25</f>
        <v>711.3225191084493</v>
      </c>
      <c r="J25">
        <f>I25-D25</f>
        <v>0.0</v>
      </c>
      <c r="K25">
        <v>540.4104295130014</v>
      </c>
      <c r="L25">
        <f>I25</f>
        <v>711.3225191084493</v>
      </c>
      <c r="M25">
        <f>(1+$B$2)^((A25-$B$3)/365)</f>
        <v>1.4548925593544346</v>
      </c>
      <c r="N25">
        <f>IF(A25&lt;=$B$4,L25/M25,0)</f>
        <v>488.91755926229877</v>
      </c>
      <c r="O25">
        <f>IF(A25&lt;=$B$5,L25/M25,0)</f>
        <v>488.91755926229877</v>
      </c>
      <c r="P25">
        <f>IF(A25&lt;=$B$6,L25/M25,0)</f>
        <v>488.91755926229877</v>
      </c>
    </row>
    <row r="26" spans="1:16">
      <c r="A26" s="1">
        <v>50586</v>
      </c>
      <c r="B26" s="1">
        <v>50405</v>
      </c>
      <c r="C26">
        <v>16</v>
      </c>
      <c r="D26">
        <v>1004.474225146826</v>
      </c>
      <c r="E26">
        <v>1004.474225146826</v>
      </c>
      <c r="F26">
        <v>1004.474225146826</v>
      </c>
      <c r="G26">
        <v>0</v>
      </c>
      <c r="H26">
        <v>0</v>
      </c>
      <c r="I26">
        <f>F26+G26-H26</f>
        <v>1004.4742251468256</v>
      </c>
      <c r="J26">
        <f>I26-D26</f>
        <v>0.0</v>
      </c>
      <c r="K26">
        <v>9.811847464555171</v>
      </c>
      <c r="L26">
        <f>I26</f>
        <v>1004.4742251468256</v>
      </c>
      <c r="M26">
        <f>(1+$B$2)^((A26-$B$3)/365)</f>
        <v>1.4940378311484603</v>
      </c>
      <c r="N26">
        <f>IF(A26&lt;=$B$4,L26/M26,0)</f>
        <v>672.3218142171746</v>
      </c>
      <c r="O26">
        <f>IF(A26&lt;=$B$5,L26/M26,0)</f>
        <v>672.3218142171746</v>
      </c>
      <c r="P26">
        <f>IF(A26&lt;=$B$6,L26/M26,0)</f>
        <v>672.3218142171746</v>
      </c>
    </row>
    <row r="27" spans="1:16">
      <c r="A27" s="1">
        <v>50770</v>
      </c>
      <c r="B27" s="1">
        <v>50586</v>
      </c>
      <c r="C27">
        <v>17</v>
      </c>
      <c r="D27">
        <v>707.8951938776108</v>
      </c>
      <c r="E27">
        <v>707.8951938776108</v>
      </c>
      <c r="F27">
        <v>1021.122969210033</v>
      </c>
      <c r="G27">
        <v>0</v>
      </c>
      <c r="H27">
        <v>313.2277753324217</v>
      </c>
      <c r="I27">
        <f>F27+G27-H27</f>
        <v>707.8951938776108</v>
      </c>
      <c r="J27">
        <f>I27-D27</f>
        <v>0.0</v>
      </c>
      <c r="K27">
        <v>0</v>
      </c>
      <c r="L27">
        <f>I27</f>
        <v>707.8951938776108</v>
      </c>
      <c r="M27">
        <f>(1+$B$2)^((A27-$B$3)/365)</f>
        <v>1.5349116501189284</v>
      </c>
      <c r="N27">
        <f>IF(A27&lt;=$B$4,L27/M27,0)</f>
        <v>461.1960524390844</v>
      </c>
      <c r="O27">
        <f>IF(A27&lt;=$B$5,L27/M27,0)</f>
        <v>0</v>
      </c>
      <c r="P27">
        <f>IF(A27&lt;=$B$6,L27/M27,0)</f>
        <v>461.1960524390844</v>
      </c>
    </row>
    <row r="28" spans="1:16">
      <c r="A28" s="1">
        <v>50951</v>
      </c>
      <c r="B28" s="1">
        <v>50770</v>
      </c>
      <c r="C28">
        <v>18</v>
      </c>
      <c r="D28">
        <v>1024.563709649762</v>
      </c>
      <c r="E28">
        <v>1024.563709649762</v>
      </c>
      <c r="F28">
        <v>1024.563709649762</v>
      </c>
      <c r="G28">
        <v>0</v>
      </c>
      <c r="H28">
        <v>0</v>
      </c>
      <c r="I28">
        <f>F28+G28-H28</f>
        <v>1024.5637096497621</v>
      </c>
      <c r="J28">
        <f>I28-D28</f>
        <v>0.0</v>
      </c>
      <c r="K28">
        <v>0</v>
      </c>
      <c r="L28">
        <f>I28</f>
        <v>1024.5637096497621</v>
      </c>
      <c r="M28">
        <f>(1+$B$2)^((A28-$B$3)/365)</f>
        <v>1.5762099118616255</v>
      </c>
      <c r="N28">
        <f>IF(A28&lt;=$B$4,L28/M28,0)</f>
        <v>650.0172990535717</v>
      </c>
      <c r="O28">
        <f>IF(A28&lt;=$B$5,L28/M28,0)</f>
        <v>0</v>
      </c>
      <c r="P28">
        <f>IF(A28&lt;=$B$6,L28/M28,0)</f>
        <v>650.0172990535717</v>
      </c>
    </row>
    <row r="29" spans="1:16">
      <c r="A29" s="1">
        <v>51135</v>
      </c>
      <c r="B29" s="1">
        <v>50951</v>
      </c>
      <c r="C29">
        <v>19</v>
      </c>
      <c r="D29">
        <v>718.1180216580165</v>
      </c>
      <c r="E29">
        <v>718.1180216580165</v>
      </c>
      <c r="F29">
        <v>1041.545428594233</v>
      </c>
      <c r="G29">
        <v>0</v>
      </c>
      <c r="H29">
        <v>323.4274069362166</v>
      </c>
      <c r="I29">
        <f>F29+G29-H29</f>
        <v>718.1180216580165</v>
      </c>
      <c r="J29">
        <f>I29-D29</f>
        <v>0.0</v>
      </c>
      <c r="K29">
        <v>0</v>
      </c>
      <c r="L29">
        <f>I29</f>
        <v>718.1180216580165</v>
      </c>
      <c r="M29">
        <f>(1+$B$2)^((A29-$B$3)/365)</f>
        <v>1.6193317908754694</v>
      </c>
      <c r="N29">
        <f>IF(A29&lt;=$B$4,L29/M29,0)</f>
        <v>443.465647808826</v>
      </c>
      <c r="O29">
        <f>IF(A29&lt;=$B$5,L29/M29,0)</f>
        <v>0</v>
      </c>
      <c r="P29">
        <f>IF(A29&lt;=$B$6,L29/M29,0)</f>
        <v>443.465647808826</v>
      </c>
    </row>
    <row r="30" spans="1:16">
      <c r="A30" s="1">
        <v>51317</v>
      </c>
      <c r="B30" s="1">
        <v>51135</v>
      </c>
      <c r="C30">
        <v>20</v>
      </c>
      <c r="D30">
        <v>1047.957651430643</v>
      </c>
      <c r="E30">
        <v>1047.957651430643</v>
      </c>
      <c r="F30">
        <v>1047.957651430643</v>
      </c>
      <c r="G30">
        <v>0</v>
      </c>
      <c r="H30">
        <v>0</v>
      </c>
      <c r="I30">
        <f>F30+G30-H30</f>
        <v>1047.957651430643</v>
      </c>
      <c r="J30">
        <f>I30-D30</f>
        <v>0.0</v>
      </c>
      <c r="K30">
        <v>0</v>
      </c>
      <c r="L30">
        <f>I30</f>
        <v>1047.957651430643</v>
      </c>
      <c r="M30">
        <f>(1+$B$2)^((A30-$B$3)/365)</f>
        <v>1.6631454009856539</v>
      </c>
      <c r="N30">
        <f>IF(A30&lt;=$B$4,L30/M30,0)</f>
        <v>630.1058529275773</v>
      </c>
      <c r="O30">
        <f>IF(A30&lt;=$B$5,L30/M30,0)</f>
        <v>0</v>
      </c>
      <c r="P30">
        <f>IF(A30&lt;=$B$6,L30/M30,0)</f>
        <v>630.1058529275773</v>
      </c>
    </row>
    <row r="31" spans="1:16">
      <c r="A31" s="1">
        <v>51501</v>
      </c>
      <c r="B31" s="1">
        <v>51317</v>
      </c>
      <c r="C31">
        <v>21</v>
      </c>
      <c r="D31">
        <v>725.4361819265398</v>
      </c>
      <c r="E31">
        <v>725.4361819265398</v>
      </c>
      <c r="F31">
        <v>1059.473669578232</v>
      </c>
      <c r="G31">
        <v>0</v>
      </c>
      <c r="H31">
        <v>334.0374876516926</v>
      </c>
      <c r="I31">
        <f>F31+G31-H31</f>
        <v>725.4361819265398</v>
      </c>
      <c r="J31">
        <f>I31-D31</f>
        <v>0.0</v>
      </c>
      <c r="K31">
        <v>0</v>
      </c>
      <c r="L31">
        <f>I31</f>
        <v>725.4361819265398</v>
      </c>
      <c r="M31">
        <f>(1+$B$2)^((A31-$B$3)/365)</f>
        <v>1.7086456571533302</v>
      </c>
      <c r="N31">
        <f>IF(A31&lt;=$B$4,L31/M31,0)</f>
        <v>424.5679488251207</v>
      </c>
      <c r="O31">
        <f>IF(A31&lt;=$B$5,L31/M31,0)</f>
        <v>0</v>
      </c>
      <c r="P31">
        <f>IF(A31&lt;=$B$6,L31/M31,0)</f>
        <v>424.5679488251207</v>
      </c>
    </row>
    <row r="32" spans="1:16">
      <c r="A32" s="1">
        <v>51682</v>
      </c>
      <c r="B32" s="1">
        <v>51501</v>
      </c>
      <c r="C32">
        <v>22</v>
      </c>
      <c r="D32">
        <v>1065.956083519613</v>
      </c>
      <c r="E32">
        <v>1065.956083519613</v>
      </c>
      <c r="F32">
        <v>1065.956083519613</v>
      </c>
      <c r="G32">
        <v>0</v>
      </c>
      <c r="H32">
        <v>0</v>
      </c>
      <c r="I32">
        <f>F32+G32-H32</f>
        <v>1065.9560835196125</v>
      </c>
      <c r="J32">
        <f>I32-D32</f>
        <v>0.0</v>
      </c>
      <c r="L32">
        <f>I32</f>
        <v>1065.9560835196125</v>
      </c>
      <c r="M32">
        <f>(1+$B$2)^((A32-$B$3)/365)</f>
        <v>1.7546183980398649</v>
      </c>
      <c r="N32">
        <f>IF(A32&lt;=$B$4,L32/M32,0)</f>
        <v>0</v>
      </c>
      <c r="O32">
        <f>IF(A32&lt;=$B$5,L32/M32,0)</f>
        <v>0</v>
      </c>
      <c r="P32">
        <f>IF(A32&lt;=$B$6,L32/M32,0)</f>
        <v>607.5144799065273</v>
      </c>
    </row>
    <row r="33" spans="1:16">
      <c r="A33" s="1">
        <v>51866</v>
      </c>
      <c r="B33" s="1">
        <v>51682</v>
      </c>
      <c r="C33">
        <v>23</v>
      </c>
      <c r="D33">
        <v>629.725506926511</v>
      </c>
      <c r="E33">
        <v>629.725506926511</v>
      </c>
      <c r="F33">
        <v>1083.62386390944</v>
      </c>
      <c r="G33">
        <v>0</v>
      </c>
      <c r="H33">
        <v>453.8983569829292</v>
      </c>
      <c r="I33">
        <f>F33+G33-H33</f>
        <v>629.725506926511</v>
      </c>
      <c r="J33">
        <f>I33-D33</f>
        <v>0.0</v>
      </c>
      <c r="L33">
        <f>I33</f>
        <v>629.725506926511</v>
      </c>
      <c r="M33">
        <f>(1+$B$2)^((A33-$B$3)/365)</f>
        <v>1.8026211682967632</v>
      </c>
      <c r="N33">
        <f>IF(A33&lt;=$B$4,L33/M33,0)</f>
        <v>0</v>
      </c>
      <c r="O33">
        <f>IF(A33&lt;=$B$5,L33/M33,0)</f>
        <v>0</v>
      </c>
      <c r="P33">
        <f>IF(A33&lt;=$B$6,L33/M33,0)</f>
        <v>349.3387950844479</v>
      </c>
    </row>
    <row r="34" spans="1:16">
      <c r="A34" s="1">
        <v>52047</v>
      </c>
      <c r="B34" s="1">
        <v>51866</v>
      </c>
      <c r="C34">
        <v>24</v>
      </c>
      <c r="D34">
        <v>1087.275205190005</v>
      </c>
      <c r="E34">
        <v>1087.275205190005</v>
      </c>
      <c r="F34">
        <v>1087.275205190005</v>
      </c>
      <c r="G34">
        <v>0</v>
      </c>
      <c r="H34">
        <v>0</v>
      </c>
      <c r="I34">
        <f>F34+G34-H34</f>
        <v>1087.275205190005</v>
      </c>
      <c r="J34">
        <f>I34-D34</f>
        <v>0.0</v>
      </c>
      <c r="L34">
        <f>I34</f>
        <v>1087.275205190005</v>
      </c>
      <c r="M34">
        <f>(1+$B$2)^((A34-$B$3)/365)</f>
        <v>1.8511224099320573</v>
      </c>
      <c r="N34">
        <f>IF(A34&lt;=$B$4,L34/M34,0)</f>
        <v>0</v>
      </c>
      <c r="O34">
        <f>IF(A34&lt;=$B$5,L34/M34,0)</f>
        <v>0</v>
      </c>
      <c r="P34">
        <f>IF(A34&lt;=$B$6,L34/M34,0)</f>
        <v>587.3599710944625</v>
      </c>
    </row>
    <row r="35" spans="1:16">
      <c r="A35" s="1">
        <v>52231</v>
      </c>
      <c r="B35" s="1">
        <v>52047</v>
      </c>
      <c r="C35">
        <v>25</v>
      </c>
      <c r="D35">
        <v>610.0757470964495</v>
      </c>
      <c r="E35">
        <v>610.0757470964495</v>
      </c>
      <c r="F35">
        <v>1105.296341187629</v>
      </c>
      <c r="G35">
        <v>0</v>
      </c>
      <c r="H35">
        <v>495.2205940911795</v>
      </c>
      <c r="I35">
        <f>F35+G35-H35</f>
        <v>610.0757470964495</v>
      </c>
      <c r="J35">
        <f>I35-D35</f>
        <v>0.0</v>
      </c>
      <c r="L35">
        <f>I35</f>
        <v>610.0757470964495</v>
      </c>
      <c r="M35">
        <f>(1+$B$2)^((A35-$B$3)/365)</f>
        <v>1.9017653325530852</v>
      </c>
      <c r="N35">
        <f>IF(A35&lt;=$B$4,L35/M35,0)</f>
        <v>0</v>
      </c>
      <c r="O35">
        <f>IF(A35&lt;=$B$5,L35/M35,0)</f>
        <v>0</v>
      </c>
      <c r="P35">
        <f>IF(A35&lt;=$B$6,L35/M35,0)</f>
        <v>320.79444117189473</v>
      </c>
    </row>
    <row r="36" spans="1:16">
      <c r="A36" s="1">
        <v>52412</v>
      </c>
      <c r="B36" s="1">
        <v>52231</v>
      </c>
      <c r="C36">
        <v>26</v>
      </c>
      <c r="D36">
        <v>1109.020709293805</v>
      </c>
      <c r="E36">
        <v>1109.020709293805</v>
      </c>
      <c r="F36">
        <v>1109.020709293805</v>
      </c>
      <c r="G36">
        <v>0</v>
      </c>
      <c r="H36">
        <v>0</v>
      </c>
      <c r="I36">
        <f>F36+G36-H36</f>
        <v>1109.0207092938049</v>
      </c>
      <c r="J36">
        <f>I36-D36</f>
        <v>0.0</v>
      </c>
      <c r="L36">
        <f>I36</f>
        <v>1109.0207092938049</v>
      </c>
      <c r="M36">
        <f>(1+$B$2)^((A36-$B$3)/365)</f>
        <v>1.9529341424783204</v>
      </c>
      <c r="N36">
        <f>IF(A36&lt;=$B$4,L36/M36,0)</f>
        <v>0</v>
      </c>
      <c r="O36">
        <f>IF(A36&lt;=$B$5,L36/M36,0)</f>
        <v>0</v>
      </c>
      <c r="P36">
        <f>IF(A36&lt;=$B$6,L36/M36,0)</f>
        <v>567.8740952761627</v>
      </c>
    </row>
    <row r="37" spans="1:16">
      <c r="A37" s="1">
        <v>52596</v>
      </c>
      <c r="B37" s="1">
        <v>52412</v>
      </c>
      <c r="C37">
        <v>27</v>
      </c>
      <c r="D37">
        <v>599.9365863180973</v>
      </c>
      <c r="E37">
        <v>599.9365863180973</v>
      </c>
      <c r="F37">
        <v>1127.402268011382</v>
      </c>
      <c r="G37">
        <v>0</v>
      </c>
      <c r="H37">
        <v>527.4656816932846</v>
      </c>
      <c r="I37">
        <f>F37+G37-H37</f>
        <v>599.9365863180973</v>
      </c>
      <c r="J37">
        <f>I37-D37</f>
        <v>0.0</v>
      </c>
      <c r="L37">
        <f>I37</f>
        <v>599.9365863180973</v>
      </c>
      <c r="M37">
        <f>(1+$B$2)^((A37-$B$3)/365)</f>
        <v>2.0063624258435047</v>
      </c>
      <c r="N37">
        <f>IF(A37&lt;=$B$4,L37/M37,0)</f>
        <v>0</v>
      </c>
      <c r="O37">
        <f>IF(A37&lt;=$B$5,L37/M37,0)</f>
        <v>0</v>
      </c>
      <c r="P37">
        <f>IF(A37&lt;=$B$6,L37/M37,0)</f>
        <v>299.0170562359266</v>
      </c>
    </row>
    <row r="38" spans="1:16">
      <c r="A38" s="1">
        <v>52778</v>
      </c>
      <c r="B38" s="1">
        <v>52596</v>
      </c>
      <c r="C38">
        <v>28</v>
      </c>
      <c r="D38">
        <v>1134.343064226598</v>
      </c>
      <c r="E38">
        <v>1134.343064226598</v>
      </c>
      <c r="F38">
        <v>1134.343064226598</v>
      </c>
      <c r="G38">
        <v>0</v>
      </c>
      <c r="H38">
        <v>0</v>
      </c>
      <c r="I38">
        <f>F38+G38-H38</f>
        <v>1134.3430642265978</v>
      </c>
      <c r="J38">
        <f>I38-D38</f>
        <v>0.0</v>
      </c>
      <c r="L38">
        <f>I38</f>
        <v>1134.3430642265978</v>
      </c>
      <c r="M38">
        <f>(1+$B$2)^((A38-$B$3)/365)</f>
        <v>2.060647768452697</v>
      </c>
      <c r="N38">
        <f>IF(A38&lt;=$B$4,L38/M38,0)</f>
        <v>0</v>
      </c>
      <c r="O38">
        <f>IF(A38&lt;=$B$5,L38/M38,0)</f>
        <v>0</v>
      </c>
      <c r="P38">
        <f>IF(A38&lt;=$B$6,L38/M38,0)</f>
        <v>550.4788744552668</v>
      </c>
    </row>
    <row r="39" spans="1:16">
      <c r="A39" s="1">
        <v>52962</v>
      </c>
      <c r="B39" s="1">
        <v>52778</v>
      </c>
      <c r="C39">
        <v>29</v>
      </c>
      <c r="D39">
        <v>608.1518995311751</v>
      </c>
      <c r="E39">
        <v>608.1518995311751</v>
      </c>
      <c r="F39">
        <v>1146.808372624692</v>
      </c>
      <c r="G39">
        <v>0</v>
      </c>
      <c r="H39">
        <v>538.656473093517</v>
      </c>
      <c r="I39">
        <f>F39+G39-H39</f>
        <v>608.1518995311751</v>
      </c>
      <c r="J39">
        <f>I39-D39</f>
        <v>0.0</v>
      </c>
      <c r="L39">
        <f>I39</f>
        <v>608.1518995311751</v>
      </c>
      <c r="M39">
        <f>(1+$B$2)^((A39-$B$3)/365)</f>
        <v>2.1170228762937677</v>
      </c>
      <c r="N39">
        <f>IF(A39&lt;=$B$4,L39/M39,0)</f>
        <v>0</v>
      </c>
      <c r="O39">
        <f>IF(A39&lt;=$B$5,L39/M39,0)</f>
        <v>0</v>
      </c>
      <c r="P39">
        <f>IF(A39&lt;=$B$6,L39/M39,0)</f>
        <v>287.26751436708855</v>
      </c>
    </row>
    <row r="40" spans="1:16">
      <c r="A40" s="1">
        <v>53143</v>
      </c>
      <c r="B40" s="1">
        <v>52962</v>
      </c>
      <c r="C40">
        <v>30</v>
      </c>
      <c r="D40">
        <v>1153.825145949275</v>
      </c>
      <c r="E40">
        <v>1153.825145949275</v>
      </c>
      <c r="F40">
        <v>1153.825145949275</v>
      </c>
      <c r="G40">
        <v>0</v>
      </c>
      <c r="H40">
        <v>0</v>
      </c>
      <c r="I40">
        <f>F40+G40-H40</f>
        <v>1153.8251459492749</v>
      </c>
      <c r="J40">
        <f>I40-D40</f>
        <v>0.0</v>
      </c>
      <c r="L40">
        <f>I40</f>
        <v>1153.8251459492749</v>
      </c>
      <c r="M40">
        <f>(1+$B$2)^((A40-$B$3)/365)</f>
        <v>2.173983395717595</v>
      </c>
      <c r="N40">
        <f>IF(A40&lt;=$B$4,L40/M40,0)</f>
        <v>0</v>
      </c>
      <c r="O40">
        <f>IF(A40&lt;=$B$5,L40/M40,0)</f>
        <v>0</v>
      </c>
      <c r="P40">
        <f>IF(A40&lt;=$B$6,L40/M40,0)</f>
        <v>530.7423912354293</v>
      </c>
    </row>
    <row r="41" spans="1:16">
      <c r="A41" s="1">
        <v>53327</v>
      </c>
      <c r="B41" s="1">
        <v>53143</v>
      </c>
      <c r="C41">
        <v>31</v>
      </c>
      <c r="D41">
        <v>622.8904962858128</v>
      </c>
      <c r="E41">
        <v>622.8904962858128</v>
      </c>
      <c r="F41">
        <v>1172.949319639042</v>
      </c>
      <c r="G41">
        <v>0</v>
      </c>
      <c r="H41">
        <v>550.0588233532287</v>
      </c>
      <c r="I41">
        <f>F41+G41-H41</f>
        <v>622.8904962858128</v>
      </c>
      <c r="J41">
        <f>I41-D41</f>
        <v>0.0</v>
      </c>
      <c r="L41">
        <f>I41</f>
        <v>622.8904962858128</v>
      </c>
      <c r="M41">
        <f>(1+$B$2)^((A41-$B$3)/365)</f>
        <v>2.233459134489925</v>
      </c>
      <c r="N41">
        <f>IF(A41&lt;=$B$4,L41/M41,0)</f>
        <v>0</v>
      </c>
      <c r="O41">
        <f>IF(A41&lt;=$B$5,L41/M41,0)</f>
        <v>0</v>
      </c>
      <c r="P41">
        <f>IF(A41&lt;=$B$6,L41/M41,0)</f>
        <v>278.89048277933585</v>
      </c>
    </row>
    <row r="42" spans="1:16">
      <c r="A42" s="1">
        <v>53508</v>
      </c>
      <c r="B42" s="1">
        <v>53327</v>
      </c>
      <c r="C42">
        <v>32</v>
      </c>
      <c r="D42">
        <v>1176.90164886826</v>
      </c>
      <c r="E42">
        <v>1176.90164886826</v>
      </c>
      <c r="F42">
        <v>1176.90164886826</v>
      </c>
      <c r="G42">
        <v>0</v>
      </c>
      <c r="H42">
        <v>0</v>
      </c>
      <c r="I42">
        <f>F42+G42-H42</f>
        <v>1176.90164886826</v>
      </c>
      <c r="J42">
        <f>I42-D42</f>
        <v>0.0</v>
      </c>
      <c r="L42">
        <f>I42</f>
        <v>1176.90164886826</v>
      </c>
      <c r="M42">
        <f>(1+$B$2)^((A42-$B$3)/365)</f>
        <v>2.2935524824820623</v>
      </c>
      <c r="N42">
        <f>IF(A42&lt;=$B$4,L42/M42,0)</f>
        <v>0</v>
      </c>
      <c r="O42">
        <f>IF(A42&lt;=$B$5,L42/M42,0)</f>
        <v>0</v>
      </c>
      <c r="P42">
        <f>IF(A42&lt;=$B$6,L42/M42,0)</f>
        <v>513.1348237536852</v>
      </c>
    </row>
    <row r="43" spans="1:16">
      <c r="A43" s="1">
        <v>53692</v>
      </c>
      <c r="B43" s="1">
        <v>53508</v>
      </c>
      <c r="C43">
        <v>33</v>
      </c>
      <c r="D43">
        <v>634.7149728781958</v>
      </c>
      <c r="E43">
        <v>634.7149728781958</v>
      </c>
      <c r="F43">
        <v>1196.408306031822</v>
      </c>
      <c r="G43">
        <v>0</v>
      </c>
      <c r="H43">
        <v>561.6933331536266</v>
      </c>
      <c r="I43">
        <f>F43+G43-H43</f>
        <v>634.7149728781958</v>
      </c>
      <c r="J43">
        <f>I43-D43</f>
        <v>0.0</v>
      </c>
      <c r="L43">
        <f>I43</f>
        <v>634.7149728781958</v>
      </c>
      <c r="M43">
        <f>(1+$B$2)^((A43-$B$3)/365)</f>
        <v>2.356299386886871</v>
      </c>
      <c r="N43">
        <f>IF(A43&lt;=$B$4,L43/M43,0)</f>
        <v>0</v>
      </c>
      <c r="O43">
        <f>IF(A43&lt;=$B$5,L43/M43,0)</f>
        <v>0</v>
      </c>
      <c r="P43">
        <f>IF(A43&lt;=$B$6,L43/M43,0)</f>
        <v>269.36940883254124</v>
      </c>
    </row>
    <row r="44" spans="1:16">
      <c r="A44" s="1">
        <v>53873</v>
      </c>
      <c r="B44" s="1">
        <v>53692</v>
      </c>
      <c r="C44">
        <v>34</v>
      </c>
      <c r="D44">
        <v>1200.439681845625</v>
      </c>
      <c r="E44">
        <v>1200.439681845625</v>
      </c>
      <c r="F44">
        <v>1200.439681845625</v>
      </c>
      <c r="G44">
        <v>0</v>
      </c>
      <c r="H44">
        <v>0</v>
      </c>
      <c r="I44">
        <f>F44+G44-H44</f>
        <v>1200.4396818456248</v>
      </c>
      <c r="J44">
        <f>I44-D44</f>
        <v>0.0</v>
      </c>
      <c r="L44">
        <f>I44</f>
        <v>1200.4396818456248</v>
      </c>
      <c r="M44">
        <f>(1+$B$2)^((A44-$B$3)/365)</f>
        <v>2.419697869018576</v>
      </c>
      <c r="N44">
        <f>IF(A44&lt;=$B$4,L44/M44,0)</f>
        <v>0</v>
      </c>
      <c r="O44">
        <f>IF(A44&lt;=$B$5,L44/M44,0)</f>
        <v>0</v>
      </c>
      <c r="P44">
        <f>IF(A44&lt;=$B$6,L44/M44,0)</f>
        <v>496.1113935817617</v>
      </c>
    </row>
    <row r="45" spans="1:16">
      <c r="A45" s="1">
        <v>54057</v>
      </c>
      <c r="B45" s="1">
        <v>53873</v>
      </c>
      <c r="C45">
        <v>35</v>
      </c>
      <c r="D45">
        <v>646.7803227980145</v>
      </c>
      <c r="E45">
        <v>646.7803227980145</v>
      </c>
      <c r="F45">
        <v>1220.336472152459</v>
      </c>
      <c r="G45">
        <v>0</v>
      </c>
      <c r="H45">
        <v>573.5561493544443</v>
      </c>
      <c r="I45">
        <f>F45+G45-H45</f>
        <v>646.7803227980145</v>
      </c>
      <c r="J45">
        <f>I45-D45</f>
        <v>0.0</v>
      </c>
      <c r="L45">
        <f>I45</f>
        <v>646.7803227980145</v>
      </c>
      <c r="M45">
        <f>(1+$B$2)^((A45-$B$3)/365)</f>
        <v>2.485895853165649</v>
      </c>
      <c r="N45">
        <f>IF(A45&lt;=$B$4,L45/M45,0)</f>
        <v>0</v>
      </c>
      <c r="O45">
        <f>IF(A45&lt;=$B$5,L45/M45,0)</f>
        <v>0</v>
      </c>
      <c r="P45">
        <f>IF(A45&lt;=$B$6,L45/M45,0)</f>
        <v>260.17997575175</v>
      </c>
    </row>
    <row r="46" spans="1:16">
      <c r="A46" s="1">
        <v>54239</v>
      </c>
      <c r="B46" s="1">
        <v>54057</v>
      </c>
      <c r="C46">
        <v>36</v>
      </c>
      <c r="D46">
        <v>1227.849413191815</v>
      </c>
      <c r="E46">
        <v>1227.849413191815</v>
      </c>
      <c r="F46">
        <v>1227.849413191815</v>
      </c>
      <c r="G46">
        <v>0</v>
      </c>
      <c r="H46">
        <v>0</v>
      </c>
      <c r="I46">
        <f>F46+G46-H46</f>
        <v>1227.849413191815</v>
      </c>
      <c r="J46">
        <f>I46-D46</f>
        <v>0.0</v>
      </c>
      <c r="L46">
        <f>I46</f>
        <v>1227.849413191815</v>
      </c>
      <c r="M46">
        <f>(1+$B$2)^((A46-$B$3)/365)</f>
        <v>2.553155739187055</v>
      </c>
      <c r="N46">
        <f>IF(A46&lt;=$B$4,L46/M46,0)</f>
        <v>0</v>
      </c>
      <c r="O46">
        <f>IF(A46&lt;=$B$5,L46/M46,0)</f>
        <v>0</v>
      </c>
      <c r="P46">
        <f>IF(A46&lt;=$B$6,L46/M46,0)</f>
        <v>480.91442067015157</v>
      </c>
    </row>
    <row r="47" spans="1:16">
      <c r="A47" s="1">
        <v>54423</v>
      </c>
      <c r="B47" s="1">
        <v>54239</v>
      </c>
      <c r="C47">
        <v>37</v>
      </c>
      <c r="D47">
        <v>655.672802944276</v>
      </c>
      <c r="E47">
        <v>655.672802944276</v>
      </c>
      <c r="F47">
        <v>1241.34226388623</v>
      </c>
      <c r="G47">
        <v>0</v>
      </c>
      <c r="H47">
        <v>585.6694609419543</v>
      </c>
      <c r="I47">
        <f>F47+G47-H47</f>
        <v>655.672802944276</v>
      </c>
      <c r="J47">
        <f>I47-D47</f>
        <v>0.0</v>
      </c>
      <c r="L47">
        <f>I47</f>
        <v>655.672802944276</v>
      </c>
      <c r="M47">
        <f>(1+$B$2)^((A47-$B$3)/365)</f>
        <v>2.6230048576707046</v>
      </c>
      <c r="N47">
        <f>IF(A47&lt;=$B$4,L47/M47,0)</f>
        <v>0</v>
      </c>
      <c r="O47">
        <f>IF(A47&lt;=$B$5,L47/M47,0)</f>
        <v>0</v>
      </c>
      <c r="P47">
        <f>IF(A47&lt;=$B$6,L47/M47,0)</f>
        <v>249.970106241637</v>
      </c>
    </row>
    <row r="48" spans="1:16">
      <c r="A48" s="1">
        <v>54604</v>
      </c>
      <c r="B48" s="1">
        <v>54423</v>
      </c>
      <c r="C48">
        <v>38</v>
      </c>
      <c r="D48">
        <v>1248.937444992189</v>
      </c>
      <c r="E48">
        <v>1248.937444992189</v>
      </c>
      <c r="F48">
        <v>1248.937444992189</v>
      </c>
      <c r="G48">
        <v>0</v>
      </c>
      <c r="H48">
        <v>0</v>
      </c>
      <c r="I48">
        <f>F48+G48-H48</f>
        <v>1248.9374449921888</v>
      </c>
      <c r="J48">
        <f>I48-D48</f>
        <v>0.0</v>
      </c>
      <c r="L48">
        <f>I48</f>
        <v>1248.9374449921888</v>
      </c>
      <c r="M48">
        <f>(1+$B$2)^((A48-$B$3)/365)</f>
        <v>2.693579304842343</v>
      </c>
      <c r="N48">
        <f>IF(A48&lt;=$B$4,L48/M48,0)</f>
        <v>0</v>
      </c>
      <c r="O48">
        <f>IF(A48&lt;=$B$5,L48/M48,0)</f>
        <v>0</v>
      </c>
      <c r="P48">
        <f>IF(A48&lt;=$B$6,L48/M48,0)</f>
        <v>463.67205255361506</v>
      </c>
    </row>
    <row r="49" spans="1:16">
      <c r="A49" s="1">
        <v>54788</v>
      </c>
      <c r="B49" s="1">
        <v>54604</v>
      </c>
      <c r="C49">
        <v>39</v>
      </c>
      <c r="D49">
        <v>671.6263536047911</v>
      </c>
      <c r="E49">
        <v>671.6263536047911</v>
      </c>
      <c r="F49">
        <v>1269.638065627418</v>
      </c>
      <c r="G49">
        <v>0</v>
      </c>
      <c r="H49">
        <v>598.0117120226273</v>
      </c>
      <c r="I49">
        <f>F49+G49-H49</f>
        <v>671.6263536047911</v>
      </c>
      <c r="J49">
        <f>I49-D49</f>
        <v>0.0</v>
      </c>
      <c r="L49">
        <f>I49</f>
        <v>671.6263536047911</v>
      </c>
      <c r="M49">
        <f>(1+$B$2)^((A49-$B$3)/365)</f>
        <v>2.7672701248425935</v>
      </c>
      <c r="N49">
        <f>IF(A49&lt;=$B$4,L49/M49,0)</f>
        <v>0</v>
      </c>
      <c r="O49">
        <f>IF(A49&lt;=$B$5,L49/M49,0)</f>
        <v>0</v>
      </c>
      <c r="P49">
        <f>IF(A49&lt;=$B$6,L49/M49,0)</f>
        <v>242.70357547512432</v>
      </c>
    </row>
    <row r="50" spans="1:16">
      <c r="A50" s="1">
        <v>54969</v>
      </c>
      <c r="B50" s="1">
        <v>54788</v>
      </c>
      <c r="C50">
        <v>40</v>
      </c>
      <c r="D50">
        <v>1273.916193892032</v>
      </c>
      <c r="E50">
        <v>1273.916193892032</v>
      </c>
      <c r="F50">
        <v>1273.916193892032</v>
      </c>
      <c r="G50">
        <v>0</v>
      </c>
      <c r="H50">
        <v>0</v>
      </c>
      <c r="I50">
        <f>F50+G50-H50</f>
        <v>1273.916193892032</v>
      </c>
      <c r="J50">
        <f>I50-D50</f>
        <v>0.0</v>
      </c>
      <c r="L50">
        <f>I50</f>
        <v>1273.916193892032</v>
      </c>
      <c r="M50">
        <f>(1+$B$2)^((A50-$B$3)/365)</f>
        <v>2.8417261666086717</v>
      </c>
      <c r="N50">
        <f>IF(A50&lt;=$B$4,L50/M50,0)</f>
        <v>0</v>
      </c>
      <c r="O50">
        <f>IF(A50&lt;=$B$5,L50/M50,0)</f>
        <v>0</v>
      </c>
      <c r="P50">
        <f>IF(A50&lt;=$B$6,L50/M50,0)</f>
        <v>448.28956739780773</v>
      </c>
    </row>
    <row r="51" spans="1:16">
      <c r="A51" s="1">
        <v>55153</v>
      </c>
      <c r="B51" s="1">
        <v>54969</v>
      </c>
      <c r="C51">
        <v>41</v>
      </c>
      <c r="D51">
        <v>686.1335331617606</v>
      </c>
      <c r="E51">
        <v>686.1335331617606</v>
      </c>
      <c r="F51">
        <v>1295.030826939967</v>
      </c>
      <c r="G51">
        <v>0</v>
      </c>
      <c r="H51">
        <v>608.8972937782062</v>
      </c>
      <c r="I51">
        <f>F51+G51-H51</f>
        <v>686.1335331617606</v>
      </c>
      <c r="J51">
        <f>I51-D51</f>
        <v>0.0</v>
      </c>
      <c r="L51">
        <f>I51</f>
        <v>686.1335331617606</v>
      </c>
      <c r="M51">
        <f>(1+$B$2)^((A51-$B$3)/365)</f>
        <v>2.919469981708936</v>
      </c>
      <c r="N51">
        <f>IF(A51&lt;=$B$4,L51/M51,0)</f>
        <v>0</v>
      </c>
      <c r="O51">
        <f>IF(A51&lt;=$B$5,L51/M51,0)</f>
        <v>0</v>
      </c>
      <c r="P51">
        <f>IF(A51&lt;=$B$6,L51/M51,0)</f>
        <v>235.01989657729814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15">
      <c r="A1" t="s">
        <v>41</v>
      </c>
      <c r="B1">
        <v>0.08</v>
      </c>
      <c r="C1" t="s">
        <v>42</v>
      </c>
      <c r="D1">
        <v>0.12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</row>
    <row r="4" spans="1:15">
      <c r="A4" s="1">
        <v>47664</v>
      </c>
      <c r="B4">
        <v>6310</v>
      </c>
      <c r="C4">
        <v>0</v>
      </c>
      <c r="D4">
        <v>0</v>
      </c>
      <c r="E4">
        <v>0</v>
      </c>
      <c r="F4">
        <f>-B4+C4-D4+E4</f>
        <v>-6310.0</v>
      </c>
      <c r="G4">
        <f>F4/((1+$B$1)^((A4-$A$4)/365))</f>
        <v>-6310.0</v>
      </c>
      <c r="H4" s="1">
        <v>47484</v>
      </c>
      <c r="I4">
        <v>500</v>
      </c>
      <c r="J4">
        <v>2987.805234805809</v>
      </c>
      <c r="K4">
        <v>0</v>
      </c>
      <c r="L4">
        <v>0</v>
      </c>
      <c r="M4">
        <v>0</v>
      </c>
      <c r="N4">
        <f>-I4-J4+K4+L4+M4</f>
        <v>-3487.805234805809</v>
      </c>
      <c r="O4">
        <f>N4/((1+$D$1)^((H4-$H$4)/365))</f>
        <v>-3487.805234805809</v>
      </c>
    </row>
    <row r="5" spans="1:15">
      <c r="A5" s="1">
        <v>47848</v>
      </c>
      <c r="B5">
        <v>2690</v>
      </c>
      <c r="C5">
        <v>0</v>
      </c>
      <c r="D5">
        <v>0</v>
      </c>
      <c r="E5">
        <v>0</v>
      </c>
      <c r="F5">
        <f>-B5+C5-D5+E5</f>
        <v>-2690.0</v>
      </c>
      <c r="G5">
        <f>F5/((1+$B$1)^((A5-$A$4)/365))</f>
        <v>-2587.6351647053525</v>
      </c>
      <c r="H5" s="1">
        <v>47665</v>
      </c>
      <c r="I5">
        <v>0</v>
      </c>
      <c r="J5">
        <v>0</v>
      </c>
      <c r="K5">
        <v>0</v>
      </c>
      <c r="L5">
        <v>0</v>
      </c>
      <c r="M5">
        <v>0</v>
      </c>
      <c r="N5">
        <f>-I5-J5+K5+L5+M5</f>
        <v>0.0</v>
      </c>
      <c r="O5">
        <f>N5/((1+$D$1)^((H5-$H$4)/365))</f>
        <v>0.0</v>
      </c>
    </row>
    <row r="6" spans="1:15">
      <c r="A6" s="1">
        <v>48029</v>
      </c>
      <c r="B6">
        <v>0</v>
      </c>
      <c r="C6">
        <v>334.2512387059166</v>
      </c>
      <c r="D6">
        <v>0</v>
      </c>
      <c r="E6">
        <v>0</v>
      </c>
      <c r="F6">
        <f>-B6+C6-D6+E6</f>
        <v>334.25123870591665</v>
      </c>
      <c r="G6">
        <f>F6/((1+$B$1)^((A6-$A$4)/365))</f>
        <v>309.4918876906636</v>
      </c>
      <c r="H6" s="1">
        <v>48029</v>
      </c>
      <c r="I6">
        <v>0</v>
      </c>
      <c r="J6">
        <v>0</v>
      </c>
      <c r="K6">
        <v>0</v>
      </c>
      <c r="L6">
        <v>77.13490123982695</v>
      </c>
      <c r="M6">
        <v>0</v>
      </c>
      <c r="N6">
        <f>-I6-J6+K6+L6+M6</f>
        <v>77.13490123982695</v>
      </c>
      <c r="O6">
        <f>N6/((1+$D$1)^((H6-$H$4)/365))</f>
        <v>65.12698953050632</v>
      </c>
    </row>
    <row r="7" spans="1:15">
      <c r="A7" s="1">
        <v>48213</v>
      </c>
      <c r="B7">
        <v>0</v>
      </c>
      <c r="C7">
        <v>339.7913144855728</v>
      </c>
      <c r="D7">
        <v>0</v>
      </c>
      <c r="E7">
        <v>0</v>
      </c>
      <c r="F7">
        <f>-B7+C7-D7+E7</f>
        <v>339.7913144855728</v>
      </c>
      <c r="G7">
        <f>F7/((1+$B$1)^((A7-$A$4)/365))</f>
        <v>302.64902726983456</v>
      </c>
      <c r="H7" s="1">
        <v>48213</v>
      </c>
      <c r="I7">
        <v>0</v>
      </c>
      <c r="J7">
        <v>0</v>
      </c>
      <c r="K7">
        <v>0</v>
      </c>
      <c r="L7">
        <v>78.41338026590142</v>
      </c>
      <c r="M7">
        <v>0</v>
      </c>
      <c r="N7">
        <f>-I7-J7+K7+L7+M7</f>
        <v>78.41338026590142</v>
      </c>
      <c r="O7">
        <f>N7/((1+$D$1)^((H7-$H$4)/365))</f>
        <v>62.530078588187614</v>
      </c>
    </row>
    <row r="8" spans="1:15">
      <c r="A8" s="1">
        <v>48395</v>
      </c>
      <c r="B8">
        <v>0</v>
      </c>
      <c r="C8">
        <v>618.1524938960584</v>
      </c>
      <c r="D8">
        <v>0</v>
      </c>
      <c r="E8">
        <v>0</v>
      </c>
      <c r="F8">
        <f>-B8+C8-D8+E8</f>
        <v>618.1524938960584</v>
      </c>
      <c r="G8">
        <f>F8/((1+$B$1)^((A8-$A$4)/365))</f>
        <v>529.8543971562243</v>
      </c>
      <c r="H8" s="1">
        <v>48395</v>
      </c>
      <c r="I8">
        <v>0</v>
      </c>
      <c r="J8">
        <v>0</v>
      </c>
      <c r="K8">
        <v>20.40422746369539</v>
      </c>
      <c r="L8">
        <v>122.2463480507797</v>
      </c>
      <c r="M8">
        <v>0</v>
      </c>
      <c r="N8">
        <f>-I8-J8+K8+L8+M8</f>
        <v>142.65057551447507</v>
      </c>
      <c r="O8">
        <f>N8/((1+$D$1)^((H8-$H$4)/365))</f>
        <v>107.50551334236629</v>
      </c>
    </row>
    <row r="9" spans="1:15">
      <c r="A9" s="1">
        <v>48579</v>
      </c>
      <c r="B9">
        <v>0</v>
      </c>
      <c r="C9">
        <v>624.9453784443666</v>
      </c>
      <c r="D9">
        <v>96.68326559797907</v>
      </c>
      <c r="E9">
        <v>0</v>
      </c>
      <c r="F9">
        <f>-B9+C9-D9+E9</f>
        <v>528.2621128463875</v>
      </c>
      <c r="G9">
        <f>F9/((1+$B$1)^((A9-$A$4)/365))</f>
        <v>435.57319489605385</v>
      </c>
      <c r="H9" s="1">
        <v>48579</v>
      </c>
      <c r="I9">
        <v>0</v>
      </c>
      <c r="J9">
        <v>0</v>
      </c>
      <c r="K9">
        <v>20.62844974351621</v>
      </c>
      <c r="L9">
        <v>123.5897145128761</v>
      </c>
      <c r="M9">
        <v>0</v>
      </c>
      <c r="N9">
        <f>-I9-J9+K9+L9+M9</f>
        <v>144.21816425639236</v>
      </c>
      <c r="O9">
        <f>N9/((1+$D$1)^((H9-$H$4)/365))</f>
        <v>102.65164069361018</v>
      </c>
    </row>
    <row r="10" spans="1:15">
      <c r="A10" s="1">
        <v>48760</v>
      </c>
      <c r="B10">
        <v>0</v>
      </c>
      <c r="C10">
        <v>909.7832533955111</v>
      </c>
      <c r="D10">
        <v>0</v>
      </c>
      <c r="E10">
        <v>0</v>
      </c>
      <c r="F10">
        <f>-B10+C10-D10+E10</f>
        <v>909.7832533955111</v>
      </c>
      <c r="G10">
        <f>F10/((1+$B$1)^((A10-$A$4)/365))</f>
        <v>722.0630142818526</v>
      </c>
      <c r="H10" s="1">
        <v>48760</v>
      </c>
      <c r="I10">
        <v>0</v>
      </c>
      <c r="J10">
        <v>0</v>
      </c>
      <c r="K10">
        <v>88.04223545960026</v>
      </c>
      <c r="L10">
        <v>121.9077460932102</v>
      </c>
      <c r="M10">
        <v>0</v>
      </c>
      <c r="N10">
        <f>-I10-J10+K10+L10+M10</f>
        <v>209.9499815528104</v>
      </c>
      <c r="O10">
        <f>N10/((1+$D$1)^((H10-$H$4)/365))</f>
        <v>141.2716531640137</v>
      </c>
    </row>
    <row r="11" spans="1:15">
      <c r="A11" s="1">
        <v>48944</v>
      </c>
      <c r="B11">
        <v>0</v>
      </c>
      <c r="C11">
        <v>924.8625338385307</v>
      </c>
      <c r="D11">
        <v>267.0199122759154</v>
      </c>
      <c r="E11">
        <v>0</v>
      </c>
      <c r="F11">
        <f>-B11+C11-D11+E11</f>
        <v>657.8426215626152</v>
      </c>
      <c r="G11">
        <f>F11/((1+$B$1)^((A11-$A$4)/365))</f>
        <v>502.23842210131045</v>
      </c>
      <c r="H11" s="1">
        <v>48944</v>
      </c>
      <c r="I11">
        <v>0</v>
      </c>
      <c r="J11">
        <v>0</v>
      </c>
      <c r="K11">
        <v>89.50149903075373</v>
      </c>
      <c r="L11">
        <v>123.9283164704457</v>
      </c>
      <c r="M11">
        <v>0</v>
      </c>
      <c r="N11">
        <f>-I11-J11+K11+L11+M11</f>
        <v>213.4298155011994</v>
      </c>
      <c r="O11">
        <f>N11/((1+$D$1)^((H11-$H$4)/365))</f>
        <v>135.63850622161993</v>
      </c>
    </row>
    <row r="12" spans="1:15">
      <c r="A12" s="1">
        <v>49125</v>
      </c>
      <c r="B12">
        <v>0</v>
      </c>
      <c r="C12">
        <v>927.9789184634224</v>
      </c>
      <c r="D12">
        <v>0</v>
      </c>
      <c r="E12">
        <v>0</v>
      </c>
      <c r="F12">
        <f>-B12+C12-D12+E12</f>
        <v>927.9789184634224</v>
      </c>
      <c r="G12">
        <f>F12/((1+$B$1)^((A12-$A$4)/365))</f>
        <v>681.948402377306</v>
      </c>
      <c r="H12" s="1">
        <v>49125</v>
      </c>
      <c r="I12">
        <v>0</v>
      </c>
      <c r="J12">
        <v>0</v>
      </c>
      <c r="K12">
        <v>92.24123509065653</v>
      </c>
      <c r="L12">
        <v>121.9077460932102</v>
      </c>
      <c r="M12">
        <v>0</v>
      </c>
      <c r="N12">
        <f>-I12-J12+K12+L12+M12</f>
        <v>214.14898118386668</v>
      </c>
      <c r="O12">
        <f>N12/((1+$D$1)^((H12-$H$4)/365))</f>
        <v>128.6581127029411</v>
      </c>
    </row>
    <row r="13" spans="1:15">
      <c r="A13" s="1">
        <v>49309</v>
      </c>
      <c r="B13">
        <v>0</v>
      </c>
      <c r="C13">
        <v>943.359784515302</v>
      </c>
      <c r="D13">
        <v>276.1936438547675</v>
      </c>
      <c r="E13">
        <v>0</v>
      </c>
      <c r="F13">
        <f>-B13+C13-D13+E13</f>
        <v>667.1661406605344</v>
      </c>
      <c r="G13">
        <f>F13/((1+$B$1)^((A13-$A$4)/365))</f>
        <v>471.6264655913635</v>
      </c>
      <c r="H13" s="1">
        <v>49309</v>
      </c>
      <c r="I13">
        <v>0</v>
      </c>
      <c r="J13">
        <v>0</v>
      </c>
      <c r="K13">
        <v>81.81310194590333</v>
      </c>
      <c r="L13">
        <v>123.9283164704457</v>
      </c>
      <c r="M13">
        <v>0</v>
      </c>
      <c r="N13">
        <f>-I13-J13+K13+L13+M13</f>
        <v>205.741418416349</v>
      </c>
      <c r="O13">
        <f>N13/((1+$D$1)^((H13-$H$4)/365))</f>
        <v>116.74320614307365</v>
      </c>
    </row>
    <row r="14" spans="1:15">
      <c r="A14" s="1">
        <v>49490</v>
      </c>
      <c r="B14">
        <v>0</v>
      </c>
      <c r="C14">
        <v>946.5384968326905</v>
      </c>
      <c r="D14">
        <v>0</v>
      </c>
      <c r="E14">
        <v>0</v>
      </c>
      <c r="F14">
        <f>-B14+C14-D14+E14</f>
        <v>946.5384968326905</v>
      </c>
      <c r="G14">
        <f>F14/((1+$B$1)^((A14-$A$4)/365))</f>
        <v>644.062380023011</v>
      </c>
      <c r="H14" s="1">
        <v>49490</v>
      </c>
      <c r="I14">
        <v>0</v>
      </c>
      <c r="J14">
        <v>0</v>
      </c>
      <c r="K14">
        <v>96.52421471433384</v>
      </c>
      <c r="L14">
        <v>121.9077460932102</v>
      </c>
      <c r="M14">
        <v>0</v>
      </c>
      <c r="N14">
        <f>-I14-J14+K14+L14+M14</f>
        <v>218.431960807544</v>
      </c>
      <c r="O14">
        <f>N14/((1+$D$1)^((H14-$H$4)/365))</f>
        <v>117.17078121160708</v>
      </c>
    </row>
    <row r="15" spans="1:15">
      <c r="A15" s="1">
        <v>49674</v>
      </c>
      <c r="B15">
        <v>0</v>
      </c>
      <c r="C15">
        <v>962.2269802056078</v>
      </c>
      <c r="D15">
        <v>285.7125757293178</v>
      </c>
      <c r="E15">
        <v>0</v>
      </c>
      <c r="F15">
        <f>-B15+C15-D15+E15</f>
        <v>676.51440447629</v>
      </c>
      <c r="G15">
        <f>F15/((1+$B$1)^((A15-$A$4)/365))</f>
        <v>442.8100439382424</v>
      </c>
      <c r="H15" s="1">
        <v>49674</v>
      </c>
      <c r="I15">
        <v>0</v>
      </c>
      <c r="J15">
        <v>0</v>
      </c>
      <c r="K15">
        <v>57.77461882129126</v>
      </c>
      <c r="L15">
        <v>123.9283164704457</v>
      </c>
      <c r="M15">
        <v>0</v>
      </c>
      <c r="N15">
        <f>-I15-J15+K15+L15+M15</f>
        <v>181.70293529173694</v>
      </c>
      <c r="O15">
        <f>N15/((1+$D$1)^((H15-$H$4)/365))</f>
        <v>92.05636182806288</v>
      </c>
    </row>
    <row r="16" spans="1:15">
      <c r="A16" s="1">
        <v>49856</v>
      </c>
      <c r="B16">
        <v>0</v>
      </c>
      <c r="C16">
        <v>968.1508829436871</v>
      </c>
      <c r="D16">
        <v>0</v>
      </c>
      <c r="E16">
        <v>0</v>
      </c>
      <c r="F16">
        <f>-B16+C16-D16+E16</f>
        <v>968.1508829436871</v>
      </c>
      <c r="G16">
        <f>F16/((1+$B$1)^((A16-$A$4)/365))</f>
        <v>609.8420534004765</v>
      </c>
      <c r="H16" s="1">
        <v>49856</v>
      </c>
      <c r="I16">
        <v>0</v>
      </c>
      <c r="J16">
        <v>0</v>
      </c>
      <c r="K16">
        <v>101.1730864746865</v>
      </c>
      <c r="L16">
        <v>122.2463480507797</v>
      </c>
      <c r="M16">
        <v>0</v>
      </c>
      <c r="N16">
        <f>-I16-J16+K16+L16+M16</f>
        <v>223.41943452546616</v>
      </c>
      <c r="O16">
        <f>N16/((1+$D$1)^((H16-$H$4)/365))</f>
        <v>106.97227272020724</v>
      </c>
    </row>
    <row r="17" spans="1:15">
      <c r="A17" s="1">
        <v>50040</v>
      </c>
      <c r="B17">
        <v>0</v>
      </c>
      <c r="C17">
        <v>978.789903635376</v>
      </c>
      <c r="D17">
        <v>355.0978582973552</v>
      </c>
      <c r="E17">
        <v>0</v>
      </c>
      <c r="F17">
        <f>-B17+C17-D17+E17</f>
        <v>623.6920453380209</v>
      </c>
      <c r="G17">
        <f>F17/((1+$B$1)^((A17-$A$4)/365))</f>
        <v>377.9160116359824</v>
      </c>
      <c r="H17" s="1">
        <v>50040</v>
      </c>
      <c r="I17">
        <v>0</v>
      </c>
      <c r="J17">
        <v>0</v>
      </c>
      <c r="K17">
        <v>41.87055892581888</v>
      </c>
      <c r="L17">
        <v>123.5897145128761</v>
      </c>
      <c r="M17">
        <v>0</v>
      </c>
      <c r="N17">
        <f>-I17-J17+K17+L17+M17</f>
        <v>165.46027343869503</v>
      </c>
      <c r="O17">
        <f>N17/((1+$D$1)^((H17-$H$4)/365))</f>
        <v>74.82258962036853</v>
      </c>
    </row>
    <row r="18" spans="1:15">
      <c r="A18" s="1">
        <v>50221</v>
      </c>
      <c r="B18">
        <v>0</v>
      </c>
      <c r="C18">
        <v>984.7786521047312</v>
      </c>
      <c r="D18">
        <v>0</v>
      </c>
      <c r="E18">
        <v>0</v>
      </c>
      <c r="F18">
        <f>-B18+C18-D18+E18</f>
        <v>984.7786521047312</v>
      </c>
      <c r="G18">
        <f>F18/((1+$B$1)^((A18-$A$4)/365))</f>
        <v>574.3666209900613</v>
      </c>
      <c r="H18" s="1">
        <v>50221</v>
      </c>
      <c r="I18">
        <v>0</v>
      </c>
      <c r="J18">
        <v>0</v>
      </c>
      <c r="K18">
        <v>105.3488659309587</v>
      </c>
      <c r="L18">
        <v>121.9077460932102</v>
      </c>
      <c r="M18">
        <v>0</v>
      </c>
      <c r="N18">
        <f>-I18-J18+K18+L18+M18</f>
        <v>227.25661202416882</v>
      </c>
      <c r="O18">
        <f>N18/((1+$D$1)^((H18-$H$4)/365))</f>
        <v>97.15133655990351</v>
      </c>
    </row>
    <row r="19" spans="1:15">
      <c r="A19" s="1">
        <v>50405</v>
      </c>
      <c r="B19">
        <v>0</v>
      </c>
      <c r="C19">
        <v>1001.100950205914</v>
      </c>
      <c r="D19">
        <v>364.8304377411633</v>
      </c>
      <c r="E19">
        <v>0</v>
      </c>
      <c r="F19">
        <f>-B19+C19-D19+E19</f>
        <v>636.2705124647508</v>
      </c>
      <c r="G19">
        <f>F19/((1+$B$1)^((A19-$A$4)/365))</f>
        <v>356.9793781652073</v>
      </c>
      <c r="H19" s="1">
        <v>50405</v>
      </c>
      <c r="I19">
        <v>0</v>
      </c>
      <c r="J19">
        <v>0</v>
      </c>
      <c r="K19">
        <v>40.22303408449204</v>
      </c>
      <c r="L19">
        <v>123.9283164704457</v>
      </c>
      <c r="M19">
        <v>0</v>
      </c>
      <c r="N19">
        <f>-I19-J19+K19+L19+M19</f>
        <v>164.15135055493772</v>
      </c>
      <c r="O19">
        <f>N19/((1+$D$1)^((H19-$H$4)/365))</f>
        <v>66.27739570558819</v>
      </c>
    </row>
    <row r="20" spans="1:15">
      <c r="A20" s="1">
        <v>50586</v>
      </c>
      <c r="B20">
        <v>0</v>
      </c>
      <c r="C20">
        <v>1004.474225146826</v>
      </c>
      <c r="D20">
        <v>0</v>
      </c>
      <c r="E20">
        <v>0</v>
      </c>
      <c r="F20">
        <f>-B20+C20-D20+E20</f>
        <v>1004.4742251468256</v>
      </c>
      <c r="G20">
        <f>F20/((1+$B$1)^((A20-$A$4)/365))</f>
        <v>542.4573642683911</v>
      </c>
      <c r="H20" s="1">
        <v>50586</v>
      </c>
      <c r="I20">
        <v>0</v>
      </c>
      <c r="J20">
        <v>0</v>
      </c>
      <c r="K20">
        <v>1629.980680937775</v>
      </c>
      <c r="L20">
        <v>121.9077460932102</v>
      </c>
      <c r="M20">
        <v>0</v>
      </c>
      <c r="N20">
        <f>-I20-J20+K20+L20+M20</f>
        <v>1751.8884270309854</v>
      </c>
      <c r="O20">
        <f>N20/((1+$D$1)^((H20-$H$4)/365))</f>
        <v>668.6836015853216</v>
      </c>
    </row>
    <row r="21" spans="1:15">
      <c r="A21" s="1">
        <v>50770</v>
      </c>
      <c r="B21">
        <v>0</v>
      </c>
      <c r="C21">
        <v>1021.122969210033</v>
      </c>
      <c r="D21">
        <v>374.7603798293198</v>
      </c>
      <c r="E21">
        <v>0</v>
      </c>
      <c r="F21">
        <f>-B21+C21-D21+E21</f>
        <v>646.3625893807127</v>
      </c>
      <c r="G21">
        <f>F21/((1+$B$1)^((A21-$A$4)/365))</f>
        <v>335.77919894445034</v>
      </c>
      <c r="H21" s="1">
        <v>50770</v>
      </c>
      <c r="I21">
        <v>0</v>
      </c>
      <c r="J21">
        <v>0</v>
      </c>
      <c r="K21">
        <v>583.9668774071652</v>
      </c>
      <c r="L21">
        <v>123.9283164704457</v>
      </c>
      <c r="M21">
        <v>0</v>
      </c>
      <c r="N21">
        <f>-I21-J21+K21+L21+M21</f>
        <v>707.8951938776108</v>
      </c>
      <c r="O21">
        <f>N21/((1+$D$1)^((H21-$H$4)/365))</f>
        <v>255.19485591073615</v>
      </c>
    </row>
    <row r="22" spans="1:15">
      <c r="A22" s="1">
        <v>50951</v>
      </c>
      <c r="B22">
        <v>0</v>
      </c>
      <c r="C22">
        <v>1024.563709649762</v>
      </c>
      <c r="D22">
        <v>0</v>
      </c>
      <c r="E22">
        <v>0</v>
      </c>
      <c r="F22">
        <f>-B22+C22-D22+E22</f>
        <v>1024.5637096497621</v>
      </c>
      <c r="G22">
        <f>F22/((1+$B$1)^((A22-$A$4)/365))</f>
        <v>512.3208440312583</v>
      </c>
      <c r="H22" s="1">
        <v>50951</v>
      </c>
      <c r="I22">
        <v>0</v>
      </c>
      <c r="J22">
        <v>0</v>
      </c>
      <c r="K22">
        <v>902.655963556552</v>
      </c>
      <c r="L22">
        <v>121.9077460932102</v>
      </c>
      <c r="M22">
        <v>0</v>
      </c>
      <c r="N22">
        <f>-I22-J22+K22+L22+M22</f>
        <v>1024.5637096497621</v>
      </c>
      <c r="O22">
        <f>N22/((1+$D$1)^((H22-$H$4)/365))</f>
        <v>349.1685951424336</v>
      </c>
    </row>
    <row r="23" spans="1:15">
      <c r="A23" s="1">
        <v>51135</v>
      </c>
      <c r="B23">
        <v>0</v>
      </c>
      <c r="C23">
        <v>1041.545428594233</v>
      </c>
      <c r="D23">
        <v>384.885962520123</v>
      </c>
      <c r="E23">
        <v>0</v>
      </c>
      <c r="F23">
        <f>-B23+C23-D23+E23</f>
        <v>656.65946607411</v>
      </c>
      <c r="G23">
        <f>F23/((1+$B$1)^((A23-$A$4)/365))</f>
        <v>315.85956310687664</v>
      </c>
      <c r="H23" s="1">
        <v>51135</v>
      </c>
      <c r="I23">
        <v>0</v>
      </c>
      <c r="J23">
        <v>0</v>
      </c>
      <c r="K23">
        <v>594.1897051875708</v>
      </c>
      <c r="L23">
        <v>123.9283164704457</v>
      </c>
      <c r="M23">
        <v>0</v>
      </c>
      <c r="N23">
        <f>-I23-J23+K23+L23+M23</f>
        <v>718.1180216580165</v>
      </c>
      <c r="O23">
        <f>N23/((1+$D$1)^((H23-$H$4)/365))</f>
        <v>231.1430050573133</v>
      </c>
    </row>
    <row r="24" spans="1:15">
      <c r="A24" s="1">
        <v>51317</v>
      </c>
      <c r="B24">
        <v>0</v>
      </c>
      <c r="C24">
        <v>1047.957651430643</v>
      </c>
      <c r="D24">
        <v>0</v>
      </c>
      <c r="E24">
        <v>0</v>
      </c>
      <c r="F24">
        <f>-B24+C24-D24+E24</f>
        <v>1047.957651430643</v>
      </c>
      <c r="G24">
        <f>F24/((1+$B$1)^((A24-$A$4)/365))</f>
        <v>485.1002095677835</v>
      </c>
      <c r="H24" s="1">
        <v>51317</v>
      </c>
      <c r="I24">
        <v>0</v>
      </c>
      <c r="J24">
        <v>0</v>
      </c>
      <c r="K24">
        <v>925.7113033798632</v>
      </c>
      <c r="L24">
        <v>122.2463480507797</v>
      </c>
      <c r="M24">
        <v>0</v>
      </c>
      <c r="N24">
        <f>-I24-J24+K24+L24+M24</f>
        <v>1047.957651430643</v>
      </c>
      <c r="O24">
        <f>N24/((1+$D$1)^((H24-$H$4)/365))</f>
        <v>318.7770688108037</v>
      </c>
    </row>
    <row r="25" spans="1:15">
      <c r="A25" s="1">
        <v>51501</v>
      </c>
      <c r="B25">
        <v>0</v>
      </c>
      <c r="C25">
        <v>1059.473669578232</v>
      </c>
      <c r="D25">
        <v>395.4969633496141</v>
      </c>
      <c r="E25">
        <v>0</v>
      </c>
      <c r="F25">
        <f>-B25+C25-D25+E25</f>
        <v>663.9767062286182</v>
      </c>
      <c r="G25">
        <f>F25/((1+$B$1)^((A25-$A$4)/365))</f>
        <v>295.65915906257175</v>
      </c>
      <c r="H25" s="1">
        <v>51501</v>
      </c>
      <c r="I25">
        <v>0</v>
      </c>
      <c r="J25">
        <v>0</v>
      </c>
      <c r="K25">
        <v>601.8464674136636</v>
      </c>
      <c r="L25">
        <v>123.5897145128761</v>
      </c>
      <c r="M25">
        <v>0</v>
      </c>
      <c r="N25">
        <f>-I25-J25+K25+L25+M25</f>
        <v>725.4361819265398</v>
      </c>
      <c r="O25">
        <f>N25/((1+$D$1)^((H25-$H$4)/365))</f>
        <v>208.41610511519053</v>
      </c>
    </row>
    <row r="26" spans="1:15">
      <c r="A26" s="1">
        <v>51682</v>
      </c>
      <c r="B26">
        <v>0</v>
      </c>
      <c r="C26">
        <v>1065.956083519613</v>
      </c>
      <c r="D26">
        <v>0</v>
      </c>
      <c r="E26">
        <v>0</v>
      </c>
      <c r="F26">
        <f>-B26+C26-D26+E26</f>
        <v>1065.9560835196125</v>
      </c>
      <c r="G26">
        <f>F26/((1+$B$1)^((A26-$A$4)/365))</f>
        <v>456.8811984306501</v>
      </c>
      <c r="H26" s="1">
        <v>51682</v>
      </c>
      <c r="I26">
        <v>0</v>
      </c>
      <c r="J26">
        <v>0</v>
      </c>
      <c r="K26">
        <v>0</v>
      </c>
      <c r="L26">
        <v>121.9077460932102</v>
      </c>
      <c r="M26">
        <v>944.0483374264024</v>
      </c>
      <c r="N26">
        <f>-I26-J26+K26+L26+M26</f>
        <v>1065.9560835196125</v>
      </c>
      <c r="O26">
        <f>N26/((1+$D$1)^((H26-$H$4)/365))</f>
        <v>289.5107069532014</v>
      </c>
    </row>
    <row r="27" spans="1:15">
      <c r="A27" s="1">
        <v>51866</v>
      </c>
      <c r="B27">
        <v>0</v>
      </c>
      <c r="C27">
        <v>1083.62386390944</v>
      </c>
      <c r="D27">
        <v>505.7577664912462</v>
      </c>
      <c r="E27">
        <v>0</v>
      </c>
      <c r="F27">
        <f>-B27+C27-D27+E27</f>
        <v>577.8660974181939</v>
      </c>
      <c r="G27">
        <f>F27/((1+$B$1)^((A27-$A$4)/365))</f>
        <v>238.25496187329153</v>
      </c>
      <c r="H27" s="1">
        <v>51866</v>
      </c>
      <c r="I27">
        <v>0</v>
      </c>
      <c r="J27">
        <v>0</v>
      </c>
      <c r="K27">
        <v>0</v>
      </c>
      <c r="L27">
        <v>85.85601091724941</v>
      </c>
      <c r="M27">
        <v>543.8694960092616</v>
      </c>
      <c r="N27">
        <f>-I27-J27+K27+L27+M27</f>
        <v>629.725506926511</v>
      </c>
      <c r="O27">
        <f>N27/((1+$D$1)^((H27-$H$4)/365))</f>
        <v>161.53451231324493</v>
      </c>
    </row>
    <row r="28" spans="1:15">
      <c r="A28" s="1">
        <v>52047</v>
      </c>
      <c r="B28">
        <v>0</v>
      </c>
      <c r="C28">
        <v>1087.275205190005</v>
      </c>
      <c r="D28">
        <v>0</v>
      </c>
      <c r="E28">
        <v>0</v>
      </c>
      <c r="F28">
        <f>-B28+C28-D28+E28</f>
        <v>1087.275205190005</v>
      </c>
      <c r="G28">
        <f>F28/((1+$B$1)^((A28-$A$4)/365))</f>
        <v>431.4989096289474</v>
      </c>
      <c r="H28" s="1">
        <v>52047</v>
      </c>
      <c r="I28">
        <v>0</v>
      </c>
      <c r="J28">
        <v>0</v>
      </c>
      <c r="K28">
        <v>0</v>
      </c>
      <c r="L28">
        <v>62.88021122157065</v>
      </c>
      <c r="M28">
        <v>1024.394993968434</v>
      </c>
      <c r="N28">
        <f>-I28-J28+K28+L28+M28</f>
        <v>1087.275205190005</v>
      </c>
      <c r="O28">
        <f>N28/((1+$D$1)^((H28-$H$4)/365))</f>
        <v>263.6615366895228</v>
      </c>
    </row>
    <row r="29" spans="1:15">
      <c r="A29" s="1">
        <v>52231</v>
      </c>
      <c r="B29">
        <v>0</v>
      </c>
      <c r="C29">
        <v>1105.296341187629</v>
      </c>
      <c r="D29">
        <v>516.5062551544046</v>
      </c>
      <c r="E29">
        <v>0</v>
      </c>
      <c r="F29">
        <f>-B29+C29-D29+E29</f>
        <v>588.7900860332244</v>
      </c>
      <c r="G29">
        <f>F29/((1+$B$1)^((A29-$A$4)/365))</f>
        <v>224.77679345705153</v>
      </c>
      <c r="H29" s="1">
        <v>52231</v>
      </c>
      <c r="I29">
        <v>0</v>
      </c>
      <c r="J29">
        <v>0</v>
      </c>
      <c r="K29">
        <v>26.82795494163292</v>
      </c>
      <c r="L29">
        <v>22.60983751321737</v>
      </c>
      <c r="M29">
        <v>560.6379546415992</v>
      </c>
      <c r="N29">
        <f>-I29-J29+K29+L29+M29</f>
        <v>610.0757470964495</v>
      </c>
      <c r="O29">
        <f>N29/((1+$D$1)^((H29-$H$4)/365))</f>
        <v>139.7268208775743</v>
      </c>
    </row>
    <row r="30" spans="1:15">
      <c r="A30" s="1">
        <v>52412</v>
      </c>
      <c r="B30">
        <v>0</v>
      </c>
      <c r="C30">
        <v>1109.020709293805</v>
      </c>
      <c r="D30">
        <v>0</v>
      </c>
      <c r="E30">
        <v>0</v>
      </c>
      <c r="F30">
        <f>-B30+C30-D30+E30</f>
        <v>1109.0207092938049</v>
      </c>
      <c r="G30">
        <f>F30/((1+$B$1)^((A30-$A$4)/365))</f>
        <v>407.5267479828947</v>
      </c>
      <c r="H30" s="1">
        <v>52412</v>
      </c>
      <c r="I30">
        <v>0</v>
      </c>
      <c r="J30">
        <v>0</v>
      </c>
      <c r="K30">
        <v>1109.020709293805</v>
      </c>
      <c r="L30">
        <v>0</v>
      </c>
      <c r="M30">
        <v>0</v>
      </c>
      <c r="N30">
        <f>-I30-J30+K30+L30+M30</f>
        <v>1109.0207092938049</v>
      </c>
      <c r="O30">
        <f>N30/((1+$D$1)^((H30-$H$4)/365))</f>
        <v>240.12032805652964</v>
      </c>
    </row>
    <row r="31" spans="1:15">
      <c r="A31" s="1">
        <v>52596</v>
      </c>
      <c r="B31">
        <v>0</v>
      </c>
      <c r="C31">
        <v>1127.402268011382</v>
      </c>
      <c r="D31">
        <v>527.4656816932846</v>
      </c>
      <c r="E31">
        <v>0</v>
      </c>
      <c r="F31">
        <f>-B31+C31-D31+E31</f>
        <v>599.9365863180973</v>
      </c>
      <c r="G31">
        <f>F31/((1+$B$1)^((A31-$A$4)/365))</f>
        <v>212.06674712952204</v>
      </c>
      <c r="H31" s="1">
        <v>52596</v>
      </c>
      <c r="I31">
        <v>0</v>
      </c>
      <c r="J31">
        <v>0</v>
      </c>
      <c r="K31">
        <v>599.9365863180973</v>
      </c>
      <c r="L31">
        <v>0</v>
      </c>
      <c r="M31">
        <v>0</v>
      </c>
      <c r="N31">
        <f>-I31-J31+K31+L31+M31</f>
        <v>599.9365863180973</v>
      </c>
      <c r="O31">
        <f>N31/((1+$D$1)^((H31-$H$4)/365))</f>
        <v>122.68270481946222</v>
      </c>
    </row>
    <row r="32" spans="1:15">
      <c r="A32" s="1">
        <v>52778</v>
      </c>
      <c r="B32">
        <v>0</v>
      </c>
      <c r="C32">
        <v>1134.343064226598</v>
      </c>
      <c r="D32">
        <v>0</v>
      </c>
      <c r="E32">
        <v>0</v>
      </c>
      <c r="F32">
        <f>-B32+C32-D32+E32</f>
        <v>1134.3430642265978</v>
      </c>
      <c r="G32">
        <f>F32/((1+$B$1)^((A32-$A$4)/365))</f>
        <v>385.874034121707</v>
      </c>
      <c r="H32" s="1">
        <v>52778</v>
      </c>
      <c r="I32">
        <v>0</v>
      </c>
      <c r="J32">
        <v>0</v>
      </c>
      <c r="K32">
        <v>1134.343064226598</v>
      </c>
      <c r="L32">
        <v>0</v>
      </c>
      <c r="M32">
        <v>0</v>
      </c>
      <c r="N32">
        <f>-I32-J32+K32+L32+M32</f>
        <v>1134.3430642265978</v>
      </c>
      <c r="O32">
        <f>N32/((1+$D$1)^((H32-$H$4)/365))</f>
        <v>219.22032910355168</v>
      </c>
    </row>
    <row r="33" spans="1:15">
      <c r="A33" s="1">
        <v>52962</v>
      </c>
      <c r="B33">
        <v>0</v>
      </c>
      <c r="C33">
        <v>1146.808372624692</v>
      </c>
      <c r="D33">
        <v>538.656473093517</v>
      </c>
      <c r="E33">
        <v>0</v>
      </c>
      <c r="F33">
        <f>-B33+C33-D33+E33</f>
        <v>608.1518995311751</v>
      </c>
      <c r="G33">
        <f>F33/((1+$B$1)^((A33-$A$4)/365))</f>
        <v>199.00499046483566</v>
      </c>
      <c r="H33" s="1">
        <v>52962</v>
      </c>
      <c r="I33">
        <v>0</v>
      </c>
      <c r="J33">
        <v>0</v>
      </c>
      <c r="K33">
        <v>608.1518995311751</v>
      </c>
      <c r="L33">
        <v>0</v>
      </c>
      <c r="M33">
        <v>0</v>
      </c>
      <c r="N33">
        <f>-I33-J33+K33+L33+M33</f>
        <v>608.1518995311751</v>
      </c>
      <c r="O33">
        <f>N33/((1+$D$1)^((H33-$H$4)/365))</f>
        <v>111.0036337503867</v>
      </c>
    </row>
    <row r="34" spans="1:15">
      <c r="A34" s="1">
        <v>53143</v>
      </c>
      <c r="B34">
        <v>0</v>
      </c>
      <c r="C34">
        <v>1153.825145949275</v>
      </c>
      <c r="D34">
        <v>0</v>
      </c>
      <c r="E34">
        <v>0</v>
      </c>
      <c r="F34">
        <f>-B34+C34-D34+E34</f>
        <v>1153.8251459492749</v>
      </c>
      <c r="G34">
        <f>F34/((1+$B$1)^((A34-$A$4)/365))</f>
        <v>363.42715932832584</v>
      </c>
      <c r="H34" s="1">
        <v>53143</v>
      </c>
      <c r="I34">
        <v>0</v>
      </c>
      <c r="J34">
        <v>0</v>
      </c>
      <c r="K34">
        <v>1153.825145949275</v>
      </c>
      <c r="L34">
        <v>0</v>
      </c>
      <c r="M34">
        <v>0</v>
      </c>
      <c r="N34">
        <f>-I34-J34+K34+L34+M34</f>
        <v>1153.8251459492749</v>
      </c>
      <c r="O34">
        <f>N34/((1+$D$1)^((H34-$H$4)/365))</f>
        <v>199.09409636660726</v>
      </c>
    </row>
    <row r="35" spans="1:15">
      <c r="A35" s="1">
        <v>53327</v>
      </c>
      <c r="B35">
        <v>0</v>
      </c>
      <c r="C35">
        <v>1172.949319639042</v>
      </c>
      <c r="D35">
        <v>550.0588233532287</v>
      </c>
      <c r="E35">
        <v>0</v>
      </c>
      <c r="F35">
        <f>-B35+C35-D35+E35</f>
        <v>622.8904962858128</v>
      </c>
      <c r="G35">
        <f>F35/((1+$B$1)^((A35-$A$4)/365))</f>
        <v>188.72952594018787</v>
      </c>
      <c r="H35" s="1">
        <v>53327</v>
      </c>
      <c r="I35">
        <v>0</v>
      </c>
      <c r="J35">
        <v>0</v>
      </c>
      <c r="K35">
        <v>622.8904962858128</v>
      </c>
      <c r="L35">
        <v>0</v>
      </c>
      <c r="M35">
        <v>0</v>
      </c>
      <c r="N35">
        <f>-I35-J35+K35+L35+M35</f>
        <v>622.8904962858128</v>
      </c>
      <c r="O35">
        <f>N35/((1+$D$1)^((H35-$H$4)/365))</f>
        <v>101.51233329324916</v>
      </c>
    </row>
    <row r="36" spans="1:15">
      <c r="A36" s="1">
        <v>53508</v>
      </c>
      <c r="B36">
        <v>0</v>
      </c>
      <c r="C36">
        <v>1176.90164886826</v>
      </c>
      <c r="D36">
        <v>0</v>
      </c>
      <c r="E36">
        <v>0</v>
      </c>
      <c r="F36">
        <f>-B36+C36-D36+E36</f>
        <v>1176.90164886826</v>
      </c>
      <c r="G36">
        <f>F36/((1+$B$1)^((A36-$A$4)/365))</f>
        <v>343.2367615878632</v>
      </c>
      <c r="H36" s="1">
        <v>53508</v>
      </c>
      <c r="I36">
        <v>0</v>
      </c>
      <c r="J36">
        <v>0</v>
      </c>
      <c r="K36">
        <v>1176.90164886826</v>
      </c>
      <c r="L36">
        <v>0</v>
      </c>
      <c r="M36">
        <v>0</v>
      </c>
      <c r="N36">
        <f>-I36-J36+K36+L36+M36</f>
        <v>1176.90164886826</v>
      </c>
      <c r="O36">
        <f>N36/((1+$D$1)^((H36-$H$4)/365))</f>
        <v>181.31783776244583</v>
      </c>
    </row>
    <row r="37" spans="1:15">
      <c r="A37" s="1">
        <v>53692</v>
      </c>
      <c r="B37">
        <v>0</v>
      </c>
      <c r="C37">
        <v>1196.408306031822</v>
      </c>
      <c r="D37">
        <v>561.6933331536266</v>
      </c>
      <c r="E37">
        <v>0</v>
      </c>
      <c r="F37">
        <f>-B37+C37-D37+E37</f>
        <v>634.7149728781958</v>
      </c>
      <c r="G37">
        <f>F37/((1+$B$1)^((A37-$A$4)/365))</f>
        <v>178.0668730175491</v>
      </c>
      <c r="H37" s="1">
        <v>53692</v>
      </c>
      <c r="I37">
        <v>0</v>
      </c>
      <c r="J37">
        <v>0</v>
      </c>
      <c r="K37">
        <v>634.7149728781958</v>
      </c>
      <c r="L37">
        <v>0</v>
      </c>
      <c r="M37">
        <v>0</v>
      </c>
      <c r="N37">
        <f>-I37-J37+K37+L37+M37</f>
        <v>634.7149728781958</v>
      </c>
      <c r="O37">
        <f>N37/((1+$D$1)^((H37-$H$4)/365))</f>
        <v>92.35657657041214</v>
      </c>
    </row>
    <row r="38" spans="1:15">
      <c r="A38" s="1">
        <v>53873</v>
      </c>
      <c r="B38">
        <v>0</v>
      </c>
      <c r="C38">
        <v>1200.439681845625</v>
      </c>
      <c r="D38">
        <v>0</v>
      </c>
      <c r="E38">
        <v>0</v>
      </c>
      <c r="F38">
        <f>-B38+C38-D38+E38</f>
        <v>1200.4396818456248</v>
      </c>
      <c r="G38">
        <f>F38/((1+$B$1)^((A38-$A$4)/365))</f>
        <v>324.16805261075956</v>
      </c>
      <c r="H38" s="1">
        <v>53873</v>
      </c>
      <c r="I38">
        <v>0</v>
      </c>
      <c r="J38">
        <v>0</v>
      </c>
      <c r="K38">
        <v>1200.439681845625</v>
      </c>
      <c r="L38">
        <v>0</v>
      </c>
      <c r="M38">
        <v>0</v>
      </c>
      <c r="N38">
        <f>-I38-J38+K38+L38+M38</f>
        <v>1200.4396818456248</v>
      </c>
      <c r="O38">
        <f>N38/((1+$D$1)^((H38-$H$4)/365))</f>
        <v>165.12874510508456</v>
      </c>
    </row>
    <row r="39" spans="1:15">
      <c r="A39" s="1">
        <v>54057</v>
      </c>
      <c r="B39">
        <v>0</v>
      </c>
      <c r="C39">
        <v>1220.336472152459</v>
      </c>
      <c r="D39">
        <v>573.5561493544443</v>
      </c>
      <c r="E39">
        <v>0</v>
      </c>
      <c r="F39">
        <f>-B39+C39-D39+E39</f>
        <v>646.7803227980145</v>
      </c>
      <c r="G39">
        <f>F39/((1+$B$1)^((A39-$A$4)/365))</f>
        <v>168.0108898849945</v>
      </c>
      <c r="H39" s="1">
        <v>54057</v>
      </c>
      <c r="I39">
        <v>0</v>
      </c>
      <c r="J39">
        <v>0</v>
      </c>
      <c r="K39">
        <v>646.7803227980145</v>
      </c>
      <c r="L39">
        <v>0</v>
      </c>
      <c r="M39">
        <v>0</v>
      </c>
      <c r="N39">
        <f>-I39-J39+K39+L39+M39</f>
        <v>646.7803227980145</v>
      </c>
      <c r="O39">
        <f>N39/((1+$D$1)^((H39-$H$4)/365))</f>
        <v>84.02874147005112</v>
      </c>
    </row>
    <row r="40" spans="1:15">
      <c r="A40" s="1">
        <v>54239</v>
      </c>
      <c r="B40">
        <v>0</v>
      </c>
      <c r="C40">
        <v>1227.849413191815</v>
      </c>
      <c r="D40">
        <v>0</v>
      </c>
      <c r="E40">
        <v>0</v>
      </c>
      <c r="F40">
        <f>-B40+C40-D40+E40</f>
        <v>1227.849413191815</v>
      </c>
      <c r="G40">
        <f>F40/((1+$B$1)^((A40-$A$4)/365))</f>
        <v>306.9443535017779</v>
      </c>
      <c r="H40" s="1">
        <v>54239</v>
      </c>
      <c r="I40">
        <v>0</v>
      </c>
      <c r="J40">
        <v>0</v>
      </c>
      <c r="K40">
        <v>1227.849413191815</v>
      </c>
      <c r="L40">
        <v>0</v>
      </c>
      <c r="M40">
        <v>0</v>
      </c>
      <c r="N40">
        <f>-I40-J40+K40+L40+M40</f>
        <v>1227.849413191815</v>
      </c>
      <c r="O40">
        <f>N40/((1+$D$1)^((H40-$H$4)/365))</f>
        <v>150.75599029612755</v>
      </c>
    </row>
    <row r="41" spans="1:15">
      <c r="A41" s="1">
        <v>54423</v>
      </c>
      <c r="B41">
        <v>0</v>
      </c>
      <c r="C41">
        <v>1241.34226388623</v>
      </c>
      <c r="D41">
        <v>585.6694609419543</v>
      </c>
      <c r="E41">
        <v>0</v>
      </c>
      <c r="F41">
        <f>-B41+C41-D41+E41</f>
        <v>655.672802944276</v>
      </c>
      <c r="G41">
        <f>F41/((1+$B$1)^((A41-$A$4)/365))</f>
        <v>157.67123726623964</v>
      </c>
      <c r="H41" s="1">
        <v>54423</v>
      </c>
      <c r="I41">
        <v>0</v>
      </c>
      <c r="J41">
        <v>0</v>
      </c>
      <c r="K41">
        <v>655.672802944276</v>
      </c>
      <c r="L41">
        <v>0</v>
      </c>
      <c r="M41">
        <v>0</v>
      </c>
      <c r="N41">
        <f>-I41-J41+K41+L41+M41</f>
        <v>655.672802944276</v>
      </c>
      <c r="O41">
        <f>N41/((1+$D$1)^((H41-$H$4)/365))</f>
        <v>76.03356666964672</v>
      </c>
    </row>
    <row r="42" spans="1:15">
      <c r="A42" s="1">
        <v>54604</v>
      </c>
      <c r="B42">
        <v>0</v>
      </c>
      <c r="C42">
        <v>1248.937444992189</v>
      </c>
      <c r="D42">
        <v>0</v>
      </c>
      <c r="E42">
        <v>0</v>
      </c>
      <c r="F42">
        <f>-B42+C42-D42+E42</f>
        <v>1248.9374449921888</v>
      </c>
      <c r="G42">
        <f>F42/((1+$B$1)^((A42-$A$4)/365))</f>
        <v>289.08893732361497</v>
      </c>
      <c r="H42" s="1">
        <v>54604</v>
      </c>
      <c r="I42">
        <v>0</v>
      </c>
      <c r="J42">
        <v>0</v>
      </c>
      <c r="K42">
        <v>1248.937444992189</v>
      </c>
      <c r="L42">
        <v>0</v>
      </c>
      <c r="M42">
        <v>0</v>
      </c>
      <c r="N42">
        <f>-I42-J42+K42+L42+M42</f>
        <v>1248.9374449921888</v>
      </c>
      <c r="O42">
        <f>N42/((1+$D$1)^((H42-$H$4)/365))</f>
        <v>136.9153480546173</v>
      </c>
    </row>
    <row r="43" spans="1:15">
      <c r="A43" s="1">
        <v>54788</v>
      </c>
      <c r="B43">
        <v>0</v>
      </c>
      <c r="C43">
        <v>1269.638065627418</v>
      </c>
      <c r="D43">
        <v>598.0117120226273</v>
      </c>
      <c r="E43">
        <v>0</v>
      </c>
      <c r="F43">
        <f>-B43+C43-D43+E43</f>
        <v>671.6263536047911</v>
      </c>
      <c r="G43">
        <f>F43/((1+$B$1)^((A43-$A$4)/365))</f>
        <v>149.54409859606884</v>
      </c>
      <c r="H43" s="1">
        <v>54788</v>
      </c>
      <c r="I43">
        <v>0</v>
      </c>
      <c r="J43">
        <v>0</v>
      </c>
      <c r="K43">
        <v>671.6263536047911</v>
      </c>
      <c r="L43">
        <v>0</v>
      </c>
      <c r="M43">
        <v>0</v>
      </c>
      <c r="N43">
        <f>-I43-J43+K43+L43+M43</f>
        <v>671.6263536047911</v>
      </c>
      <c r="O43">
        <f>N43/((1+$D$1)^((H43-$H$4)/365))</f>
        <v>69.53891334512596</v>
      </c>
    </row>
    <row r="44" spans="1:15">
      <c r="A44" s="1">
        <v>54969</v>
      </c>
      <c r="B44">
        <v>0</v>
      </c>
      <c r="C44">
        <v>1273.916193892032</v>
      </c>
      <c r="D44">
        <v>0</v>
      </c>
      <c r="E44">
        <v>0</v>
      </c>
      <c r="F44">
        <f>-B44+C44-D44+E44</f>
        <v>1273.916193892032</v>
      </c>
      <c r="G44">
        <f>F44/((1+$B$1)^((A44-$A$4)/365))</f>
        <v>273.02844080563625</v>
      </c>
      <c r="H44" s="1">
        <v>54969</v>
      </c>
      <c r="I44">
        <v>0</v>
      </c>
      <c r="J44">
        <v>0</v>
      </c>
      <c r="K44">
        <v>1273.916193892032</v>
      </c>
      <c r="L44">
        <v>0</v>
      </c>
      <c r="M44">
        <v>0</v>
      </c>
      <c r="N44">
        <f>-I44-J44+K44+L44+M44</f>
        <v>1273.916193892032</v>
      </c>
      <c r="O44">
        <f>N44/((1+$D$1)^((H44-$H$4)/365))</f>
        <v>124.69076340688356</v>
      </c>
    </row>
    <row r="45" spans="1:15">
      <c r="A45" s="1">
        <v>55153</v>
      </c>
      <c r="B45">
        <v>0</v>
      </c>
      <c r="C45">
        <v>1295.030826939967</v>
      </c>
      <c r="D45">
        <v>608.8972937782062</v>
      </c>
      <c r="E45">
        <v>0</v>
      </c>
      <c r="F45">
        <f>-B45+C45-D45+E45</f>
        <v>686.1335331617606</v>
      </c>
      <c r="G45">
        <f>F45/((1+$B$1)^((A45-$A$4)/365))</f>
        <v>141.4576503053511</v>
      </c>
      <c r="H45" s="1">
        <v>55153</v>
      </c>
      <c r="I45">
        <v>0</v>
      </c>
      <c r="J45">
        <v>0</v>
      </c>
      <c r="K45">
        <v>686.1335331617606</v>
      </c>
      <c r="L45">
        <v>0</v>
      </c>
      <c r="M45">
        <v>0</v>
      </c>
      <c r="N45">
        <f>-I45-J45+K45+L45+M45</f>
        <v>686.1335331617606</v>
      </c>
      <c r="O45">
        <f>N45/((1+$D$1)^((H45-$H$4)/365))</f>
        <v>63.42942775296881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7">
      <c r="A1" t="s">
        <v>16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9</v>
      </c>
    </row>
    <row r="2" spans="1:7">
      <c r="A2" s="1">
        <v>47849</v>
      </c>
      <c r="B2">
        <v>2</v>
      </c>
      <c r="C2">
        <v>6477.352578925075</v>
      </c>
      <c r="D2">
        <v>16</v>
      </c>
      <c r="E2">
        <f>SUMPRODUCT(('7_ev_BASE_Inputs'!$C$12:$C$51&gt;=B2)*('7_ev_BASE_Inputs'!$C$12:$C$51&lt;=D2)*'7_ev_BASE_Inputs'!$L$12:$L$51/((1+'7_ev_BASE_Inputs'!$B$2)^(('7_ev_BASE_Inputs'!$A$12:$A$51-A2)/365)))/C2</f>
        <v>1.4352886781080982</v>
      </c>
      <c r="F2">
        <v>1.435288678108099</v>
      </c>
      <c r="G2">
        <f>E2-F2</f>
        <v>-4.440892098500626e-16</v>
      </c>
    </row>
    <row r="3" spans="1:7">
      <c r="A3" s="1">
        <v>48029</v>
      </c>
      <c r="B3">
        <v>3</v>
      </c>
      <c r="C3">
        <v>6414.556818826738</v>
      </c>
      <c r="D3">
        <v>16</v>
      </c>
      <c r="E3">
        <f>SUMPRODUCT(('7_ev_BASE_Inputs'!$C$12:$C$51&gt;=B3)*('7_ev_BASE_Inputs'!$C$12:$C$51&lt;=D3)*'7_ev_BASE_Inputs'!$L$12:$L$51/((1+'7_ev_BASE_Inputs'!$B$2)^(('7_ev_BASE_Inputs'!$A$12:$A$51-A3)/365)))/C3</f>
        <v>1.436008861954239</v>
      </c>
      <c r="F3">
        <v>1.43600886195424</v>
      </c>
      <c r="G3">
        <f>E3-F3</f>
        <v>-6.661338147750939e-16</v>
      </c>
    </row>
    <row r="4" spans="1:7">
      <c r="A4" s="1">
        <v>48213</v>
      </c>
      <c r="B4">
        <v>4</v>
      </c>
      <c r="C4">
        <v>6349.89196038442</v>
      </c>
      <c r="D4">
        <v>16</v>
      </c>
      <c r="E4">
        <f>SUMPRODUCT(('7_ev_BASE_Inputs'!$C$12:$C$51&gt;=B4)*('7_ev_BASE_Inputs'!$C$12:$C$51&lt;=D4)*'7_ev_BASE_Inputs'!$L$12:$L$51/((1+'7_ev_BASE_Inputs'!$B$2)^(('7_ev_BASE_Inputs'!$A$12:$A$51-A4)/365)))/C4</f>
        <v>1.4368076117339437</v>
      </c>
      <c r="F4">
        <v>1.436807611733944</v>
      </c>
      <c r="G4">
        <f>E4-F4</f>
        <v>-4.440892098500626e-16</v>
      </c>
    </row>
    <row r="5" spans="1:7">
      <c r="A5" s="1">
        <v>48395</v>
      </c>
      <c r="B5">
        <v>5</v>
      </c>
      <c r="C5">
        <v>6067.003431467831</v>
      </c>
      <c r="D5">
        <v>16</v>
      </c>
      <c r="E5">
        <f>SUMPRODUCT(('7_ev_BASE_Inputs'!$C$12:$C$51&gt;=B5)*('7_ev_BASE_Inputs'!$C$12:$C$51&lt;=D5)*'7_ev_BASE_Inputs'!$L$12:$L$51/((1+'7_ev_BASE_Inputs'!$B$2)^(('7_ev_BASE_Inputs'!$A$12:$A$51-A5)/365)))/C5</f>
        <v>1.442602359086842</v>
      </c>
      <c r="F5">
        <v>1.442602359086842</v>
      </c>
      <c r="G5">
        <f>E5-F5</f>
        <v>-2.220446049250313e-16</v>
      </c>
    </row>
    <row r="6" spans="1:7">
      <c r="A6" s="1">
        <v>48579</v>
      </c>
      <c r="B6">
        <v>6</v>
      </c>
      <c r="C6">
        <v>5772.330989178203</v>
      </c>
      <c r="D6">
        <v>16</v>
      </c>
      <c r="E6">
        <f>SUMPRODUCT(('7_ev_BASE_Inputs'!$C$12:$C$51&gt;=B6)*('7_ev_BASE_Inputs'!$C$12:$C$51&lt;=D6)*'7_ev_BASE_Inputs'!$L$12:$L$51/((1+'7_ev_BASE_Inputs'!$B$2)^(('7_ev_BASE_Inputs'!$A$12:$A$51-A6)/365)))/C6</f>
        <v>1.4494616471275037</v>
      </c>
      <c r="F6">
        <v>1.449461647127504</v>
      </c>
      <c r="G6">
        <f>E6-F6</f>
        <v>-6.661338147750939e-16</v>
      </c>
    </row>
    <row r="7" spans="1:7">
      <c r="A7" s="1">
        <v>48760</v>
      </c>
      <c r="B7">
        <v>7</v>
      </c>
      <c r="C7">
        <v>5246.629702175711</v>
      </c>
      <c r="D7">
        <v>16</v>
      </c>
      <c r="E7">
        <f>SUMPRODUCT(('7_ev_BASE_Inputs'!$C$12:$C$51&gt;=B7)*('7_ev_BASE_Inputs'!$C$12:$C$51&lt;=D7)*'7_ev_BASE_Inputs'!$L$12:$L$51/((1+'7_ev_BASE_Inputs'!$B$2)^(('7_ev_BASE_Inputs'!$A$12:$A$51-A7)/365)))/C7</f>
        <v>1.464198076882707</v>
      </c>
      <c r="F7">
        <v>1.464198076882707</v>
      </c>
      <c r="G7">
        <f>E7-F7</f>
        <v>0.0</v>
      </c>
    </row>
    <row r="8" spans="1:7">
      <c r="A8" s="1">
        <v>48944</v>
      </c>
      <c r="B8">
        <v>8</v>
      </c>
      <c r="C8">
        <v>4696.093628038435</v>
      </c>
      <c r="D8">
        <v>16</v>
      </c>
      <c r="E8">
        <f>SUMPRODUCT(('7_ev_BASE_Inputs'!$C$12:$C$51&gt;=B8)*('7_ev_BASE_Inputs'!$C$12:$C$51&lt;=D8)*'7_ev_BASE_Inputs'!$L$12:$L$51/((1+'7_ev_BASE_Inputs'!$B$2)^(('7_ev_BASE_Inputs'!$A$12:$A$51-A8)/365)))/C8</f>
        <v>1.4836606380161916</v>
      </c>
      <c r="F8">
        <v>1.483660638016192</v>
      </c>
      <c r="G8">
        <f>E8-F8</f>
        <v>0.0</v>
      </c>
    </row>
    <row r="9" spans="1:7">
      <c r="A9" s="1">
        <v>49125</v>
      </c>
      <c r="B9">
        <v>9</v>
      </c>
      <c r="C9">
        <v>4123.929181871372</v>
      </c>
      <c r="D9">
        <v>16</v>
      </c>
      <c r="E9">
        <f>SUMPRODUCT(('7_ev_BASE_Inputs'!$C$12:$C$51&gt;=B9)*('7_ev_BASE_Inputs'!$C$12:$C$51&lt;=D9)*'7_ev_BASE_Inputs'!$L$12:$L$51/((1+'7_ev_BASE_Inputs'!$B$2)^(('7_ev_BASE_Inputs'!$A$12:$A$51-A9)/365)))/C9</f>
        <v>1.509942306533795</v>
      </c>
      <c r="F9">
        <v>1.509942306533795</v>
      </c>
      <c r="G9">
        <f>E9-F9</f>
        <v>-2.220446049250313e-16</v>
      </c>
    </row>
    <row r="10" spans="1:7">
      <c r="A10" s="1">
        <v>49309</v>
      </c>
      <c r="B10">
        <v>10</v>
      </c>
      <c r="C10">
        <v>3564.591615394264</v>
      </c>
      <c r="D10">
        <v>16</v>
      </c>
      <c r="E10">
        <f>SUMPRODUCT(('7_ev_BASE_Inputs'!$C$12:$C$51&gt;=B10)*('7_ev_BASE_Inputs'!$C$12:$C$51&lt;=D10)*'7_ev_BASE_Inputs'!$L$12:$L$51/((1+'7_ev_BASE_Inputs'!$B$2)^(('7_ev_BASE_Inputs'!$A$12:$A$51-A10)/365)))/C10</f>
        <v>1.5445539636016603</v>
      </c>
      <c r="F10">
        <v>1.544553963601661</v>
      </c>
      <c r="G10">
        <f>E10-F10</f>
        <v>-2.220446049250313e-16</v>
      </c>
    </row>
    <row r="11" spans="1:7">
      <c r="A11" s="1">
        <v>49490</v>
      </c>
      <c r="B11">
        <v>11</v>
      </c>
      <c r="C11">
        <v>2944.016926433512</v>
      </c>
      <c r="D11">
        <v>16</v>
      </c>
      <c r="E11">
        <f>SUMPRODUCT(('7_ev_BASE_Inputs'!$C$12:$C$51&gt;=B11)*('7_ev_BASE_Inputs'!$C$12:$C$51&lt;=D11)*'7_ev_BASE_Inputs'!$L$12:$L$51/((1+'7_ev_BASE_Inputs'!$B$2)^(('7_ev_BASE_Inputs'!$A$12:$A$51-A11)/365)))/C11</f>
        <v>1.5989384397640583</v>
      </c>
      <c r="F11">
        <v>1.598938439764058</v>
      </c>
      <c r="G11">
        <f>E11-F11</f>
        <v>-2.220446049250313e-16</v>
      </c>
    </row>
    <row r="12" spans="1:7">
      <c r="A12" s="1">
        <v>49674</v>
      </c>
      <c r="B12">
        <v>12</v>
      </c>
      <c r="C12">
        <v>2428.623661205016</v>
      </c>
      <c r="D12">
        <v>16</v>
      </c>
      <c r="E12">
        <f>SUMPRODUCT(('7_ev_BASE_Inputs'!$C$12:$C$51&gt;=B12)*('7_ev_BASE_Inputs'!$C$12:$C$51&lt;=D12)*'7_ev_BASE_Inputs'!$L$12:$L$51/((1+'7_ev_BASE_Inputs'!$B$2)^(('7_ev_BASE_Inputs'!$A$12:$A$51-A12)/365)))/C12</f>
        <v>1.6670778015545205</v>
      </c>
      <c r="F12">
        <v>1.667077801554521</v>
      </c>
      <c r="G12">
        <f>E12-F12</f>
        <v>-2.220446049250313e-16</v>
      </c>
    </row>
    <row r="13" spans="1:7">
      <c r="A13" s="1">
        <v>49856</v>
      </c>
      <c r="B13">
        <v>13</v>
      </c>
      <c r="C13">
        <v>1757.560463843347</v>
      </c>
      <c r="D13">
        <v>16</v>
      </c>
      <c r="E13">
        <f>SUMPRODUCT(('7_ev_BASE_Inputs'!$C$12:$C$51&gt;=B13)*('7_ev_BASE_Inputs'!$C$12:$C$51&lt;=D13)*'7_ev_BASE_Inputs'!$L$12:$L$51/((1+'7_ev_BASE_Inputs'!$B$2)^(('7_ev_BASE_Inputs'!$A$12:$A$51-A13)/365)))/C13</f>
        <v>1.815071487591214</v>
      </c>
      <c r="F13">
        <v>1.815071487591214</v>
      </c>
      <c r="G13">
        <f>E13-F13</f>
        <v>0.0</v>
      </c>
    </row>
    <row r="14" spans="1:7">
      <c r="A14" s="1">
        <v>50040</v>
      </c>
      <c r="B14">
        <v>14</v>
      </c>
      <c r="C14">
        <v>1259.924739938745</v>
      </c>
      <c r="D14">
        <v>16</v>
      </c>
      <c r="E14">
        <f>SUMPRODUCT(('7_ev_BASE_Inputs'!$C$12:$C$51&gt;=B14)*('7_ev_BASE_Inputs'!$C$12:$C$51&lt;=D14)*'7_ev_BASE_Inputs'!$L$12:$L$51/((1+'7_ev_BASE_Inputs'!$B$2)^(('7_ev_BASE_Inputs'!$A$12:$A$51-A14)/365)))/C14</f>
        <v>2.0321673501386983</v>
      </c>
      <c r="F14">
        <v>2.032167350138698</v>
      </c>
      <c r="G14">
        <f>E14-F14</f>
        <v>0.0</v>
      </c>
    </row>
    <row r="15" spans="1:7">
      <c r="A15" s="1">
        <v>50221</v>
      </c>
      <c r="B15">
        <v>15</v>
      </c>
      <c r="C15">
        <v>540.4104295130014</v>
      </c>
      <c r="D15">
        <v>16</v>
      </c>
      <c r="E15">
        <f>SUMPRODUCT(('7_ev_BASE_Inputs'!$C$12:$C$51&gt;=B15)*('7_ev_BASE_Inputs'!$C$12:$C$51&lt;=D15)*'7_ev_BASE_Inputs'!$L$12:$L$51/((1+'7_ev_BASE_Inputs'!$B$2)^(('7_ev_BASE_Inputs'!$A$12:$A$51-A15)/365)))/C15</f>
        <v>3.043036529114869</v>
      </c>
      <c r="F15">
        <v>3.04303652911487</v>
      </c>
      <c r="G15">
        <f>E15-F15</f>
        <v>-4.440892098500626e-16</v>
      </c>
    </row>
    <row r="16" spans="1:7">
      <c r="A16" s="1">
        <v>50405</v>
      </c>
      <c r="B16">
        <v>16</v>
      </c>
      <c r="C16">
        <v>9.811847464555171</v>
      </c>
      <c r="D16">
        <v>16</v>
      </c>
      <c r="E16">
        <f>SUMPRODUCT(('7_ev_BASE_Inputs'!$C$12:$C$51&gt;=B16)*('7_ev_BASE_Inputs'!$C$12:$C$51&lt;=D16)*'7_ev_BASE_Inputs'!$L$12:$L$51/((1+'7_ev_BASE_Inputs'!$B$2)^(('7_ev_BASE_Inputs'!$A$12:$A$51-A16)/365)))/C16</f>
        <v>99.69131792252006</v>
      </c>
      <c r="F16">
        <v>99.69131792252004</v>
      </c>
      <c r="G16">
        <f>E16-F16</f>
        <v>1.4210854715202004e-14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51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6" width="21.7109375" customWidth="1"/>
  </cols>
  <sheetData>
    <row r="1" spans="1:16">
      <c r="A1" t="s">
        <v>12</v>
      </c>
      <c r="B1" t="s">
        <v>83</v>
      </c>
      <c r="C1" t="s">
        <v>84</v>
      </c>
    </row>
    <row r="2" spans="1:16">
      <c r="A2" t="s">
        <v>15</v>
      </c>
      <c r="B2">
        <v>0.055</v>
      </c>
    </row>
    <row r="3" spans="1:16">
      <c r="A3" t="s">
        <v>16</v>
      </c>
      <c r="B3" s="1">
        <v>47849</v>
      </c>
    </row>
    <row r="4" spans="1:16">
      <c r="A4" t="s">
        <v>17</v>
      </c>
      <c r="B4" s="1">
        <v>51501</v>
      </c>
    </row>
    <row r="5" spans="1:16">
      <c r="A5" t="s">
        <v>18</v>
      </c>
      <c r="B5" s="1">
        <v>50586</v>
      </c>
    </row>
    <row r="6" spans="1:16">
      <c r="A6" t="s">
        <v>19</v>
      </c>
      <c r="B6" s="1">
        <v>55153</v>
      </c>
    </row>
    <row r="8" spans="1:16">
      <c r="A8" t="s">
        <v>20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</row>
    <row r="12" spans="1:16">
      <c r="A12" s="1">
        <v>48029</v>
      </c>
      <c r="B12" s="1">
        <v>47849</v>
      </c>
      <c r="C12">
        <v>2</v>
      </c>
      <c r="D12">
        <v>334.2512387059166</v>
      </c>
      <c r="E12">
        <v>334.2512387059166</v>
      </c>
      <c r="F12">
        <v>334.2512387059166</v>
      </c>
      <c r="G12">
        <v>0</v>
      </c>
      <c r="H12">
        <v>0</v>
      </c>
      <c r="I12">
        <f>F12+G12-H12</f>
        <v>334.25123870591665</v>
      </c>
      <c r="J12">
        <f>I12-D12</f>
        <v>0.0</v>
      </c>
      <c r="K12">
        <v>6477.352578925075</v>
      </c>
      <c r="L12">
        <f>E12</f>
        <v>334.25123870591665</v>
      </c>
      <c r="M12">
        <f>(1+$B$2)^((A12-$B$3)/365)</f>
        <v>1.0267553309283675</v>
      </c>
      <c r="N12">
        <f>IF(A12&lt;=$B$4,L12/M12,0)</f>
        <v>325.541274184274</v>
      </c>
      <c r="O12">
        <f>IF(A12&lt;=$B$5,L12/M12,0)</f>
        <v>325.541274184274</v>
      </c>
      <c r="P12">
        <f>IF(A12&lt;=$B$6,L12/M12,0)</f>
        <v>325.541274184274</v>
      </c>
    </row>
    <row r="13" spans="1:16">
      <c r="A13" s="1">
        <v>48213</v>
      </c>
      <c r="B13" s="1">
        <v>48029</v>
      </c>
      <c r="C13">
        <v>3</v>
      </c>
      <c r="D13">
        <v>339.7913144855728</v>
      </c>
      <c r="E13">
        <v>339.7913144855728</v>
      </c>
      <c r="F13">
        <v>339.7913144855728</v>
      </c>
      <c r="G13">
        <v>0</v>
      </c>
      <c r="H13">
        <v>0</v>
      </c>
      <c r="I13">
        <f>F13+G13-H13</f>
        <v>339.7913144855728</v>
      </c>
      <c r="J13">
        <f>I13-D13</f>
        <v>0.0</v>
      </c>
      <c r="K13">
        <v>6414.556818826738</v>
      </c>
      <c r="L13">
        <f>E13</f>
        <v>339.7913144855728</v>
      </c>
      <c r="M13">
        <f>(1+$B$2)^((A13-$B$3)/365)</f>
        <v>1.0548452565302306</v>
      </c>
      <c r="N13">
        <f>IF(A13&lt;=$B$4,L13/M13,0)</f>
        <v>322.12432333750064</v>
      </c>
      <c r="O13">
        <f>IF(A13&lt;=$B$5,L13/M13,0)</f>
        <v>322.12432333750064</v>
      </c>
      <c r="P13">
        <f>IF(A13&lt;=$B$6,L13/M13,0)</f>
        <v>322.12432333750064</v>
      </c>
    </row>
    <row r="14" spans="1:16">
      <c r="A14" s="1">
        <v>48395</v>
      </c>
      <c r="B14" s="1">
        <v>48213</v>
      </c>
      <c r="C14">
        <v>4</v>
      </c>
      <c r="D14">
        <v>618.1524938960584</v>
      </c>
      <c r="E14">
        <v>618.1524938960584</v>
      </c>
      <c r="F14">
        <v>618.1524938960584</v>
      </c>
      <c r="G14">
        <v>0</v>
      </c>
      <c r="H14">
        <v>0</v>
      </c>
      <c r="I14">
        <f>F14+G14-H14</f>
        <v>618.1524938960584</v>
      </c>
      <c r="J14">
        <f>I14-D14</f>
        <v>0.0</v>
      </c>
      <c r="K14">
        <v>6349.89196038442</v>
      </c>
      <c r="L14">
        <f>E14</f>
        <v>618.1524938960584</v>
      </c>
      <c r="M14">
        <f>(1+$B$2)^((A14-$B$3)/365)</f>
        <v>1.083385781119825</v>
      </c>
      <c r="N14">
        <f>IF(A14&lt;=$B$4,L14/M14,0)</f>
        <v>570.5746786312025</v>
      </c>
      <c r="O14">
        <f>IF(A14&lt;=$B$5,L14/M14,0)</f>
        <v>570.5746786312025</v>
      </c>
      <c r="P14">
        <f>IF(A14&lt;=$B$6,L14/M14,0)</f>
        <v>570.5746786312025</v>
      </c>
    </row>
    <row r="15" spans="1:16">
      <c r="A15" s="1">
        <v>48579</v>
      </c>
      <c r="B15" s="1">
        <v>48395</v>
      </c>
      <c r="C15">
        <v>5</v>
      </c>
      <c r="D15">
        <v>624.9453784443666</v>
      </c>
      <c r="E15">
        <v>624.9453784443666</v>
      </c>
      <c r="F15">
        <v>624.9453784443666</v>
      </c>
      <c r="G15">
        <v>0</v>
      </c>
      <c r="H15">
        <v>0</v>
      </c>
      <c r="I15">
        <f>F15+G15-H15</f>
        <v>624.9453784443666</v>
      </c>
      <c r="J15">
        <f>I15-D15</f>
        <v>0.0</v>
      </c>
      <c r="K15">
        <v>6067.003431467831</v>
      </c>
      <c r="L15">
        <f>E15</f>
        <v>624.9453784443666</v>
      </c>
      <c r="M15">
        <f>(1+$B$2)^((A15-$B$3)/365)</f>
        <v>1.113025</v>
      </c>
      <c r="N15">
        <f>IF(A15&lt;=$B$4,L15/M15,0)</f>
        <v>561.4836849525991</v>
      </c>
      <c r="O15">
        <f>IF(A15&lt;=$B$5,L15/M15,0)</f>
        <v>561.4836849525991</v>
      </c>
      <c r="P15">
        <f>IF(A15&lt;=$B$6,L15/M15,0)</f>
        <v>561.4836849525991</v>
      </c>
    </row>
    <row r="16" spans="1:16">
      <c r="A16" s="1">
        <v>48760</v>
      </c>
      <c r="B16" s="1">
        <v>48579</v>
      </c>
      <c r="C16">
        <v>6</v>
      </c>
      <c r="D16">
        <v>909.7832533955111</v>
      </c>
      <c r="E16">
        <v>909.7832533955111</v>
      </c>
      <c r="F16">
        <v>909.7832533955111</v>
      </c>
      <c r="G16">
        <v>0</v>
      </c>
      <c r="H16">
        <v>0</v>
      </c>
      <c r="I16">
        <f>F16+G16-H16</f>
        <v>909.7832533955111</v>
      </c>
      <c r="J16">
        <f>I16-D16</f>
        <v>0.0</v>
      </c>
      <c r="K16">
        <v>5772.330989178203</v>
      </c>
      <c r="L16">
        <f>E16</f>
        <v>909.7832533955111</v>
      </c>
      <c r="M16">
        <f>(1+$B$2)^((A16-$B$3)/365)</f>
        <v>1.1429719990814153</v>
      </c>
      <c r="N16">
        <f>IF(A16&lt;=$B$4,L16/M16,0)</f>
        <v>795.9803513355414</v>
      </c>
      <c r="O16">
        <f>IF(A16&lt;=$B$5,L16/M16,0)</f>
        <v>795.9803513355414</v>
      </c>
      <c r="P16">
        <f>IF(A16&lt;=$B$6,L16/M16,0)</f>
        <v>795.9803513355414</v>
      </c>
    </row>
    <row r="17" spans="1:16">
      <c r="A17" s="1">
        <v>48944</v>
      </c>
      <c r="B17" s="1">
        <v>48760</v>
      </c>
      <c r="C17">
        <v>7</v>
      </c>
      <c r="D17">
        <v>924.8625338385307</v>
      </c>
      <c r="E17">
        <v>924.8625338385307</v>
      </c>
      <c r="F17">
        <v>924.8625338385307</v>
      </c>
      <c r="G17">
        <v>0</v>
      </c>
      <c r="H17">
        <v>0</v>
      </c>
      <c r="I17">
        <f>F17+G17-H17</f>
        <v>924.8625338385307</v>
      </c>
      <c r="J17">
        <f>I17-D17</f>
        <v>0.0</v>
      </c>
      <c r="K17">
        <v>5246.629702175711</v>
      </c>
      <c r="L17">
        <f>E17</f>
        <v>924.8625338385307</v>
      </c>
      <c r="M17">
        <f>(1+$B$2)^((A17-$B$3)/365)</f>
        <v>1.1742413749999998</v>
      </c>
      <c r="N17">
        <f>IF(A17&lt;=$B$4,L17/M17,0)</f>
        <v>787.6255713085658</v>
      </c>
      <c r="O17">
        <f>IF(A17&lt;=$B$5,L17/M17,0)</f>
        <v>787.6255713085658</v>
      </c>
      <c r="P17">
        <f>IF(A17&lt;=$B$6,L17/M17,0)</f>
        <v>787.6255713085658</v>
      </c>
    </row>
    <row r="18" spans="1:16">
      <c r="A18" s="1">
        <v>49125</v>
      </c>
      <c r="B18" s="1">
        <v>48944</v>
      </c>
      <c r="C18">
        <v>8</v>
      </c>
      <c r="D18">
        <v>927.9789184634224</v>
      </c>
      <c r="E18">
        <v>927.9789184634224</v>
      </c>
      <c r="F18">
        <v>927.9789184634224</v>
      </c>
      <c r="G18">
        <v>0</v>
      </c>
      <c r="H18">
        <v>0</v>
      </c>
      <c r="I18">
        <f>F18+G18-H18</f>
        <v>927.9789184634224</v>
      </c>
      <c r="J18">
        <f>I18-D18</f>
        <v>0.0</v>
      </c>
      <c r="K18">
        <v>4696.093628038435</v>
      </c>
      <c r="L18">
        <f>E18</f>
        <v>927.9789184634224</v>
      </c>
      <c r="M18">
        <f>(1+$B$2)^((A18-$B$3)/365)</f>
        <v>1.205835459030893</v>
      </c>
      <c r="N18">
        <f>IF(A18&lt;=$B$4,L18/M18,0)</f>
        <v>769.5734202485812</v>
      </c>
      <c r="O18">
        <f>IF(A18&lt;=$B$5,L18/M18,0)</f>
        <v>769.5734202485812</v>
      </c>
      <c r="P18">
        <f>IF(A18&lt;=$B$6,L18/M18,0)</f>
        <v>769.5734202485812</v>
      </c>
    </row>
    <row r="19" spans="1:16">
      <c r="A19" s="1">
        <v>49309</v>
      </c>
      <c r="B19" s="1">
        <v>49125</v>
      </c>
      <c r="C19">
        <v>9</v>
      </c>
      <c r="D19">
        <v>891.5461464708451</v>
      </c>
      <c r="E19">
        <v>891.5461464708451</v>
      </c>
      <c r="F19">
        <v>943.359784515302</v>
      </c>
      <c r="G19">
        <v>0</v>
      </c>
      <c r="H19">
        <v>51.81363804445689</v>
      </c>
      <c r="I19">
        <f>F19+G19-H19</f>
        <v>891.5461464708451</v>
      </c>
      <c r="J19">
        <f>I19-D19</f>
        <v>0.0</v>
      </c>
      <c r="K19">
        <v>4123.929181871372</v>
      </c>
      <c r="L19">
        <f>E19</f>
        <v>891.5461464708451</v>
      </c>
      <c r="M19">
        <f>(1+$B$2)^((A19-$B$3)/365)</f>
        <v>1.2388246506249998</v>
      </c>
      <c r="N19">
        <f>IF(A19&lt;=$B$4,L19/M19,0)</f>
        <v>719.6709768578231</v>
      </c>
      <c r="O19">
        <f>IF(A19&lt;=$B$5,L19/M19,0)</f>
        <v>719.6709768578231</v>
      </c>
      <c r="P19">
        <f>IF(A19&lt;=$B$6,L19/M19,0)</f>
        <v>719.6709768578231</v>
      </c>
    </row>
    <row r="20" spans="1:16">
      <c r="A20" s="1">
        <v>49490</v>
      </c>
      <c r="B20" s="1">
        <v>49309</v>
      </c>
      <c r="C20">
        <v>10</v>
      </c>
      <c r="D20">
        <v>946.5384968326905</v>
      </c>
      <c r="E20">
        <v>946.5384968326905</v>
      </c>
      <c r="F20">
        <v>946.5384968326905</v>
      </c>
      <c r="G20">
        <v>0</v>
      </c>
      <c r="H20">
        <v>0</v>
      </c>
      <c r="I20">
        <f>F20+G20-H20</f>
        <v>946.5384968326905</v>
      </c>
      <c r="J20">
        <f>I20-D20</f>
        <v>0.0</v>
      </c>
      <c r="K20">
        <v>3564.591615394264</v>
      </c>
      <c r="L20">
        <f>E20</f>
        <v>946.5384968326905</v>
      </c>
      <c r="M20">
        <f>(1+$B$2)^((A20-$B$3)/365)</f>
        <v>1.272156409277592</v>
      </c>
      <c r="N20">
        <f>IF(A20&lt;=$B$4,L20/M20,0)</f>
        <v>744.0425484867798</v>
      </c>
      <c r="O20">
        <f>IF(A20&lt;=$B$5,L20/M20,0)</f>
        <v>744.0425484867798</v>
      </c>
      <c r="P20">
        <f>IF(A20&lt;=$B$6,L20/M20,0)</f>
        <v>744.0425484867798</v>
      </c>
    </row>
    <row r="21" spans="1:16">
      <c r="A21" s="1">
        <v>49674</v>
      </c>
      <c r="B21" s="1">
        <v>49490</v>
      </c>
      <c r="C21">
        <v>11</v>
      </c>
      <c r="D21">
        <v>787.3793862641938</v>
      </c>
      <c r="E21">
        <v>787.3793862641938</v>
      </c>
      <c r="F21">
        <v>962.2269802056078</v>
      </c>
      <c r="G21">
        <v>0</v>
      </c>
      <c r="H21">
        <v>174.8475939414139</v>
      </c>
      <c r="I21">
        <f>F21+G21-H21</f>
        <v>787.3793862641938</v>
      </c>
      <c r="J21">
        <f>I21-D21</f>
        <v>0.0</v>
      </c>
      <c r="K21">
        <v>2944.016926433512</v>
      </c>
      <c r="L21">
        <f>E21</f>
        <v>787.3793862641938</v>
      </c>
      <c r="M21">
        <f>(1+$B$2)^((A21-$B$3)/365)</f>
        <v>1.3069600064093747</v>
      </c>
      <c r="N21">
        <f>IF(A21&lt;=$B$4,L21/M21,0)</f>
        <v>602.4510179369372</v>
      </c>
      <c r="O21">
        <f>IF(A21&lt;=$B$5,L21/M21,0)</f>
        <v>602.4510179369372</v>
      </c>
      <c r="P21">
        <f>IF(A21&lt;=$B$6,L21/M21,0)</f>
        <v>602.4510179369372</v>
      </c>
    </row>
    <row r="22" spans="1:16">
      <c r="A22" s="1">
        <v>49856</v>
      </c>
      <c r="B22" s="1">
        <v>49674</v>
      </c>
      <c r="C22">
        <v>12</v>
      </c>
      <c r="D22">
        <v>968.1508829436871</v>
      </c>
      <c r="E22">
        <v>968.1508829436871</v>
      </c>
      <c r="F22">
        <v>968.1508829436871</v>
      </c>
      <c r="G22">
        <v>0</v>
      </c>
      <c r="H22">
        <v>0</v>
      </c>
      <c r="I22">
        <f>F22+G22-H22</f>
        <v>968.1508829436871</v>
      </c>
      <c r="J22">
        <f>I22-D22</f>
        <v>0.0</v>
      </c>
      <c r="K22">
        <v>2428.623661205016</v>
      </c>
      <c r="L22">
        <f>E22</f>
        <v>968.1508829436871</v>
      </c>
      <c r="M22">
        <f>(1+$B$2)^((A22-$B$3)/365)</f>
        <v>1.3423218985633392</v>
      </c>
      <c r="N22">
        <f>IF(A22&lt;=$B$4,L22/M22,0)</f>
        <v>721.2509041086792</v>
      </c>
      <c r="O22">
        <f>IF(A22&lt;=$B$5,L22/M22,0)</f>
        <v>721.2509041086792</v>
      </c>
      <c r="P22">
        <f>IF(A22&lt;=$B$6,L22/M22,0)</f>
        <v>721.2509041086792</v>
      </c>
    </row>
    <row r="23" spans="1:16">
      <c r="A23" s="1">
        <v>50040</v>
      </c>
      <c r="B23" s="1">
        <v>49856</v>
      </c>
      <c r="C23">
        <v>13</v>
      </c>
      <c r="D23">
        <v>716.9945182344934</v>
      </c>
      <c r="E23">
        <v>716.9945182344934</v>
      </c>
      <c r="F23">
        <v>978.789903635376</v>
      </c>
      <c r="G23">
        <v>0</v>
      </c>
      <c r="H23">
        <v>261.7953854008827</v>
      </c>
      <c r="I23">
        <f>F23+G23-H23</f>
        <v>716.9945182344934</v>
      </c>
      <c r="J23">
        <f>I23-D23</f>
        <v>0.0</v>
      </c>
      <c r="K23">
        <v>1757.560463843347</v>
      </c>
      <c r="L23">
        <f>E23</f>
        <v>716.9945182344934</v>
      </c>
      <c r="M23">
        <f>(1+$B$2)^((A23-$B$3)/365)</f>
        <v>1.3790450799568101</v>
      </c>
      <c r="N23">
        <f>IF(A23&lt;=$B$4,L23/M23,0)</f>
        <v>519.9210153862039</v>
      </c>
      <c r="O23">
        <f>IF(A23&lt;=$B$5,L23/M23,0)</f>
        <v>519.9210153862039</v>
      </c>
      <c r="P23">
        <f>IF(A23&lt;=$B$6,L23/M23,0)</f>
        <v>519.9210153862039</v>
      </c>
    </row>
    <row r="24" spans="1:16">
      <c r="A24" s="1">
        <v>50221</v>
      </c>
      <c r="B24" s="1">
        <v>50040</v>
      </c>
      <c r="C24">
        <v>14</v>
      </c>
      <c r="D24">
        <v>984.7786521047312</v>
      </c>
      <c r="E24">
        <v>984.7786521047312</v>
      </c>
      <c r="F24">
        <v>984.7786521047312</v>
      </c>
      <c r="G24">
        <v>0</v>
      </c>
      <c r="H24">
        <v>0</v>
      </c>
      <c r="I24">
        <f>F24+G24-H24</f>
        <v>984.7786521047312</v>
      </c>
      <c r="J24">
        <f>I24-D24</f>
        <v>0.0</v>
      </c>
      <c r="K24">
        <v>1259.924739938745</v>
      </c>
      <c r="L24">
        <f>E24</f>
        <v>984.7786521047312</v>
      </c>
      <c r="M24">
        <f>(1+$B$2)^((A24-$B$3)/365)</f>
        <v>1.4161496029843228</v>
      </c>
      <c r="N24">
        <f>IF(A24&lt;=$B$4,L24/M24,0)</f>
        <v>695.3916803912934</v>
      </c>
      <c r="O24">
        <f>IF(A24&lt;=$B$5,L24/M24,0)</f>
        <v>695.3916803912934</v>
      </c>
      <c r="P24">
        <f>IF(A24&lt;=$B$6,L24/M24,0)</f>
        <v>695.3916803912934</v>
      </c>
    </row>
    <row r="25" spans="1:16">
      <c r="A25" s="1">
        <v>50405</v>
      </c>
      <c r="B25" s="1">
        <v>50221</v>
      </c>
      <c r="C25">
        <v>15</v>
      </c>
      <c r="D25">
        <v>711.3225191084493</v>
      </c>
      <c r="E25">
        <v>711.3225191084493</v>
      </c>
      <c r="F25">
        <v>1001.100950205914</v>
      </c>
      <c r="G25">
        <v>0</v>
      </c>
      <c r="H25">
        <v>289.7784310974648</v>
      </c>
      <c r="I25">
        <f>F25+G25-H25</f>
        <v>711.3225191084493</v>
      </c>
      <c r="J25">
        <f>I25-D25</f>
        <v>0.0</v>
      </c>
      <c r="K25">
        <v>540.4104295130014</v>
      </c>
      <c r="L25">
        <f>E25</f>
        <v>711.3225191084493</v>
      </c>
      <c r="M25">
        <f>(1+$B$2)^((A25-$B$3)/365)</f>
        <v>1.4548925593544346</v>
      </c>
      <c r="N25">
        <f>IF(A25&lt;=$B$4,L25/M25,0)</f>
        <v>488.91755926229877</v>
      </c>
      <c r="O25">
        <f>IF(A25&lt;=$B$5,L25/M25,0)</f>
        <v>488.91755926229877</v>
      </c>
      <c r="P25">
        <f>IF(A25&lt;=$B$6,L25/M25,0)</f>
        <v>488.91755926229877</v>
      </c>
    </row>
    <row r="26" spans="1:16">
      <c r="A26" s="1">
        <v>50586</v>
      </c>
      <c r="B26" s="1">
        <v>50405</v>
      </c>
      <c r="C26">
        <v>16</v>
      </c>
      <c r="D26">
        <v>1004.474225146826</v>
      </c>
      <c r="E26">
        <v>1004.474225146826</v>
      </c>
      <c r="F26">
        <v>1004.474225146826</v>
      </c>
      <c r="G26">
        <v>0</v>
      </c>
      <c r="H26">
        <v>0</v>
      </c>
      <c r="I26">
        <f>F26+G26-H26</f>
        <v>1004.4742251468256</v>
      </c>
      <c r="J26">
        <f>I26-D26</f>
        <v>0.0</v>
      </c>
      <c r="K26">
        <v>9.811847464555171</v>
      </c>
      <c r="L26">
        <f>E26</f>
        <v>1004.4742251468256</v>
      </c>
      <c r="M26">
        <f>(1+$B$2)^((A26-$B$3)/365)</f>
        <v>1.4940378311484603</v>
      </c>
      <c r="N26">
        <f>IF(A26&lt;=$B$4,L26/M26,0)</f>
        <v>672.3218142171746</v>
      </c>
      <c r="O26">
        <f>IF(A26&lt;=$B$5,L26/M26,0)</f>
        <v>672.3218142171746</v>
      </c>
      <c r="P26">
        <f>IF(A26&lt;=$B$6,L26/M26,0)</f>
        <v>672.3218142171746</v>
      </c>
    </row>
    <row r="27" spans="1:16">
      <c r="A27" s="1">
        <v>50770</v>
      </c>
      <c r="B27" s="1">
        <v>50586</v>
      </c>
      <c r="C27">
        <v>17</v>
      </c>
      <c r="D27">
        <v>707.8951938776108</v>
      </c>
      <c r="E27">
        <v>707.8951938776108</v>
      </c>
      <c r="F27">
        <v>1021.122969210033</v>
      </c>
      <c r="G27">
        <v>0</v>
      </c>
      <c r="H27">
        <v>313.2277753324217</v>
      </c>
      <c r="I27">
        <f>F27+G27-H27</f>
        <v>707.8951938776108</v>
      </c>
      <c r="J27">
        <f>I27-D27</f>
        <v>0.0</v>
      </c>
      <c r="K27">
        <v>0</v>
      </c>
      <c r="L27">
        <f>E27</f>
        <v>707.8951938776108</v>
      </c>
      <c r="M27">
        <f>(1+$B$2)^((A27-$B$3)/365)</f>
        <v>1.5349116501189284</v>
      </c>
      <c r="N27">
        <f>IF(A27&lt;=$B$4,L27/M27,0)</f>
        <v>461.1960524390844</v>
      </c>
      <c r="O27">
        <f>IF(A27&lt;=$B$5,L27/M27,0)</f>
        <v>0</v>
      </c>
      <c r="P27">
        <f>IF(A27&lt;=$B$6,L27/M27,0)</f>
        <v>461.1960524390844</v>
      </c>
    </row>
    <row r="28" spans="1:16">
      <c r="A28" s="1">
        <v>50951</v>
      </c>
      <c r="B28" s="1">
        <v>50770</v>
      </c>
      <c r="C28">
        <v>18</v>
      </c>
      <c r="D28">
        <v>1024.563709649762</v>
      </c>
      <c r="E28">
        <v>1024.563709649762</v>
      </c>
      <c r="F28">
        <v>1024.563709649762</v>
      </c>
      <c r="G28">
        <v>0</v>
      </c>
      <c r="H28">
        <v>0</v>
      </c>
      <c r="I28">
        <f>F28+G28-H28</f>
        <v>1024.5637096497621</v>
      </c>
      <c r="J28">
        <f>I28-D28</f>
        <v>0.0</v>
      </c>
      <c r="K28">
        <v>0</v>
      </c>
      <c r="L28">
        <f>E28</f>
        <v>1024.5637096497621</v>
      </c>
      <c r="M28">
        <f>(1+$B$2)^((A28-$B$3)/365)</f>
        <v>1.5762099118616255</v>
      </c>
      <c r="N28">
        <f>IF(A28&lt;=$B$4,L28/M28,0)</f>
        <v>650.0172990535717</v>
      </c>
      <c r="O28">
        <f>IF(A28&lt;=$B$5,L28/M28,0)</f>
        <v>0</v>
      </c>
      <c r="P28">
        <f>IF(A28&lt;=$B$6,L28/M28,0)</f>
        <v>650.0172990535717</v>
      </c>
    </row>
    <row r="29" spans="1:16">
      <c r="A29" s="1">
        <v>51135</v>
      </c>
      <c r="B29" s="1">
        <v>50951</v>
      </c>
      <c r="C29">
        <v>19</v>
      </c>
      <c r="D29">
        <v>718.1180216580165</v>
      </c>
      <c r="E29">
        <v>718.1180216580165</v>
      </c>
      <c r="F29">
        <v>1041.545428594233</v>
      </c>
      <c r="G29">
        <v>0</v>
      </c>
      <c r="H29">
        <v>323.4274069362166</v>
      </c>
      <c r="I29">
        <f>F29+G29-H29</f>
        <v>718.1180216580165</v>
      </c>
      <c r="J29">
        <f>I29-D29</f>
        <v>0.0</v>
      </c>
      <c r="K29">
        <v>0</v>
      </c>
      <c r="L29">
        <f>E29</f>
        <v>718.1180216580165</v>
      </c>
      <c r="M29">
        <f>(1+$B$2)^((A29-$B$3)/365)</f>
        <v>1.6193317908754694</v>
      </c>
      <c r="N29">
        <f>IF(A29&lt;=$B$4,L29/M29,0)</f>
        <v>443.465647808826</v>
      </c>
      <c r="O29">
        <f>IF(A29&lt;=$B$5,L29/M29,0)</f>
        <v>0</v>
      </c>
      <c r="P29">
        <f>IF(A29&lt;=$B$6,L29/M29,0)</f>
        <v>443.465647808826</v>
      </c>
    </row>
    <row r="30" spans="1:16">
      <c r="A30" s="1">
        <v>51317</v>
      </c>
      <c r="B30" s="1">
        <v>51135</v>
      </c>
      <c r="C30">
        <v>20</v>
      </c>
      <c r="D30">
        <v>1047.957651430643</v>
      </c>
      <c r="E30">
        <v>1047.957651430643</v>
      </c>
      <c r="F30">
        <v>1047.957651430643</v>
      </c>
      <c r="G30">
        <v>0</v>
      </c>
      <c r="H30">
        <v>0</v>
      </c>
      <c r="I30">
        <f>F30+G30-H30</f>
        <v>1047.957651430643</v>
      </c>
      <c r="J30">
        <f>I30-D30</f>
        <v>0.0</v>
      </c>
      <c r="K30">
        <v>0</v>
      </c>
      <c r="L30">
        <f>E30</f>
        <v>1047.957651430643</v>
      </c>
      <c r="M30">
        <f>(1+$B$2)^((A30-$B$3)/365)</f>
        <v>1.6631454009856539</v>
      </c>
      <c r="N30">
        <f>IF(A30&lt;=$B$4,L30/M30,0)</f>
        <v>630.1058529275773</v>
      </c>
      <c r="O30">
        <f>IF(A30&lt;=$B$5,L30/M30,0)</f>
        <v>0</v>
      </c>
      <c r="P30">
        <f>IF(A30&lt;=$B$6,L30/M30,0)</f>
        <v>630.1058529275773</v>
      </c>
    </row>
    <row r="31" spans="1:16">
      <c r="A31" s="1">
        <v>51501</v>
      </c>
      <c r="B31" s="1">
        <v>51317</v>
      </c>
      <c r="C31">
        <v>21</v>
      </c>
      <c r="D31">
        <v>725.4361819265398</v>
      </c>
      <c r="E31">
        <v>725.4361819265398</v>
      </c>
      <c r="F31">
        <v>1059.473669578232</v>
      </c>
      <c r="G31">
        <v>0</v>
      </c>
      <c r="H31">
        <v>334.0374876516926</v>
      </c>
      <c r="I31">
        <f>F31+G31-H31</f>
        <v>725.4361819265398</v>
      </c>
      <c r="J31">
        <f>I31-D31</f>
        <v>0.0</v>
      </c>
      <c r="K31">
        <v>0</v>
      </c>
      <c r="L31">
        <f>E31</f>
        <v>725.4361819265398</v>
      </c>
      <c r="M31">
        <f>(1+$B$2)^((A31-$B$3)/365)</f>
        <v>1.7086456571533302</v>
      </c>
      <c r="N31">
        <f>IF(A31&lt;=$B$4,L31/M31,0)</f>
        <v>424.5679488251207</v>
      </c>
      <c r="O31">
        <f>IF(A31&lt;=$B$5,L31/M31,0)</f>
        <v>0</v>
      </c>
      <c r="P31">
        <f>IF(A31&lt;=$B$6,L31/M31,0)</f>
        <v>424.5679488251207</v>
      </c>
    </row>
    <row r="32" spans="1:16">
      <c r="A32" s="1">
        <v>51682</v>
      </c>
      <c r="B32" s="1">
        <v>51501</v>
      </c>
      <c r="C32">
        <v>22</v>
      </c>
      <c r="D32">
        <v>1065.956083519613</v>
      </c>
      <c r="E32">
        <v>1065.956083519613</v>
      </c>
      <c r="F32">
        <v>1065.956083519613</v>
      </c>
      <c r="G32">
        <v>0</v>
      </c>
      <c r="H32">
        <v>0</v>
      </c>
      <c r="I32">
        <f>F32+G32-H32</f>
        <v>1065.9560835196125</v>
      </c>
      <c r="J32">
        <f>I32-D32</f>
        <v>0.0</v>
      </c>
      <c r="L32">
        <f>E32</f>
        <v>1065.9560835196125</v>
      </c>
      <c r="M32">
        <f>(1+$B$2)^((A32-$B$3)/365)</f>
        <v>1.7546183980398649</v>
      </c>
      <c r="N32">
        <f>IF(A32&lt;=$B$4,L32/M32,0)</f>
        <v>0</v>
      </c>
      <c r="O32">
        <f>IF(A32&lt;=$B$5,L32/M32,0)</f>
        <v>0</v>
      </c>
      <c r="P32">
        <f>IF(A32&lt;=$B$6,L32/M32,0)</f>
        <v>607.5144799065273</v>
      </c>
    </row>
    <row r="33" spans="1:16">
      <c r="A33" s="1">
        <v>51866</v>
      </c>
      <c r="B33" s="1">
        <v>51682</v>
      </c>
      <c r="C33">
        <v>23</v>
      </c>
      <c r="D33">
        <v>629.725506926511</v>
      </c>
      <c r="E33">
        <v>629.725506926511</v>
      </c>
      <c r="F33">
        <v>1083.62386390944</v>
      </c>
      <c r="G33">
        <v>0</v>
      </c>
      <c r="H33">
        <v>453.8983569829292</v>
      </c>
      <c r="I33">
        <f>F33+G33-H33</f>
        <v>629.725506926511</v>
      </c>
      <c r="J33">
        <f>I33-D33</f>
        <v>0.0</v>
      </c>
      <c r="L33">
        <f>E33</f>
        <v>629.725506926511</v>
      </c>
      <c r="M33">
        <f>(1+$B$2)^((A33-$B$3)/365)</f>
        <v>1.8026211682967632</v>
      </c>
      <c r="N33">
        <f>IF(A33&lt;=$B$4,L33/M33,0)</f>
        <v>0</v>
      </c>
      <c r="O33">
        <f>IF(A33&lt;=$B$5,L33/M33,0)</f>
        <v>0</v>
      </c>
      <c r="P33">
        <f>IF(A33&lt;=$B$6,L33/M33,0)</f>
        <v>349.3387950844479</v>
      </c>
    </row>
    <row r="34" spans="1:16">
      <c r="A34" s="1">
        <v>52047</v>
      </c>
      <c r="B34" s="1">
        <v>51866</v>
      </c>
      <c r="C34">
        <v>24</v>
      </c>
      <c r="D34">
        <v>1087.275205190005</v>
      </c>
      <c r="E34">
        <v>1087.275205190005</v>
      </c>
      <c r="F34">
        <v>1087.275205190005</v>
      </c>
      <c r="G34">
        <v>0</v>
      </c>
      <c r="H34">
        <v>0</v>
      </c>
      <c r="I34">
        <f>F34+G34-H34</f>
        <v>1087.275205190005</v>
      </c>
      <c r="J34">
        <f>I34-D34</f>
        <v>0.0</v>
      </c>
      <c r="L34">
        <f>E34</f>
        <v>1087.275205190005</v>
      </c>
      <c r="M34">
        <f>(1+$B$2)^((A34-$B$3)/365)</f>
        <v>1.8511224099320573</v>
      </c>
      <c r="N34">
        <f>IF(A34&lt;=$B$4,L34/M34,0)</f>
        <v>0</v>
      </c>
      <c r="O34">
        <f>IF(A34&lt;=$B$5,L34/M34,0)</f>
        <v>0</v>
      </c>
      <c r="P34">
        <f>IF(A34&lt;=$B$6,L34/M34,0)</f>
        <v>587.3599710944625</v>
      </c>
    </row>
    <row r="35" spans="1:16">
      <c r="A35" s="1">
        <v>52231</v>
      </c>
      <c r="B35" s="1">
        <v>52047</v>
      </c>
      <c r="C35">
        <v>25</v>
      </c>
      <c r="D35">
        <v>610.0757470964495</v>
      </c>
      <c r="E35">
        <v>610.0757470964495</v>
      </c>
      <c r="F35">
        <v>1105.296341187629</v>
      </c>
      <c r="G35">
        <v>0</v>
      </c>
      <c r="H35">
        <v>495.2205940911795</v>
      </c>
      <c r="I35">
        <f>F35+G35-H35</f>
        <v>610.0757470964495</v>
      </c>
      <c r="J35">
        <f>I35-D35</f>
        <v>0.0</v>
      </c>
      <c r="L35">
        <f>E35</f>
        <v>610.0757470964495</v>
      </c>
      <c r="M35">
        <f>(1+$B$2)^((A35-$B$3)/365)</f>
        <v>1.9017653325530852</v>
      </c>
      <c r="N35">
        <f>IF(A35&lt;=$B$4,L35/M35,0)</f>
        <v>0</v>
      </c>
      <c r="O35">
        <f>IF(A35&lt;=$B$5,L35/M35,0)</f>
        <v>0</v>
      </c>
      <c r="P35">
        <f>IF(A35&lt;=$B$6,L35/M35,0)</f>
        <v>320.79444117189473</v>
      </c>
    </row>
    <row r="36" spans="1:16">
      <c r="A36" s="1">
        <v>52412</v>
      </c>
      <c r="B36" s="1">
        <v>52231</v>
      </c>
      <c r="C36">
        <v>26</v>
      </c>
      <c r="D36">
        <v>1109.020709293805</v>
      </c>
      <c r="E36">
        <v>1109.020709293805</v>
      </c>
      <c r="F36">
        <v>1109.020709293805</v>
      </c>
      <c r="G36">
        <v>0</v>
      </c>
      <c r="H36">
        <v>0</v>
      </c>
      <c r="I36">
        <f>F36+G36-H36</f>
        <v>1109.0207092938049</v>
      </c>
      <c r="J36">
        <f>I36-D36</f>
        <v>0.0</v>
      </c>
      <c r="L36">
        <f>E36</f>
        <v>1109.0207092938049</v>
      </c>
      <c r="M36">
        <f>(1+$B$2)^((A36-$B$3)/365)</f>
        <v>1.9529341424783204</v>
      </c>
      <c r="N36">
        <f>IF(A36&lt;=$B$4,L36/M36,0)</f>
        <v>0</v>
      </c>
      <c r="O36">
        <f>IF(A36&lt;=$B$5,L36/M36,0)</f>
        <v>0</v>
      </c>
      <c r="P36">
        <f>IF(A36&lt;=$B$6,L36/M36,0)</f>
        <v>567.8740952761627</v>
      </c>
    </row>
    <row r="37" spans="1:16">
      <c r="A37" s="1">
        <v>52596</v>
      </c>
      <c r="B37" s="1">
        <v>52412</v>
      </c>
      <c r="C37">
        <v>27</v>
      </c>
      <c r="D37">
        <v>599.9365863180973</v>
      </c>
      <c r="E37">
        <v>599.9365863180973</v>
      </c>
      <c r="F37">
        <v>1127.402268011382</v>
      </c>
      <c r="G37">
        <v>0</v>
      </c>
      <c r="H37">
        <v>527.4656816932846</v>
      </c>
      <c r="I37">
        <f>F37+G37-H37</f>
        <v>599.9365863180973</v>
      </c>
      <c r="J37">
        <f>I37-D37</f>
        <v>0.0</v>
      </c>
      <c r="L37">
        <f>E37</f>
        <v>599.9365863180973</v>
      </c>
      <c r="M37">
        <f>(1+$B$2)^((A37-$B$3)/365)</f>
        <v>2.0063624258435047</v>
      </c>
      <c r="N37">
        <f>IF(A37&lt;=$B$4,L37/M37,0)</f>
        <v>0</v>
      </c>
      <c r="O37">
        <f>IF(A37&lt;=$B$5,L37/M37,0)</f>
        <v>0</v>
      </c>
      <c r="P37">
        <f>IF(A37&lt;=$B$6,L37/M37,0)</f>
        <v>299.0170562359266</v>
      </c>
    </row>
    <row r="38" spans="1:16">
      <c r="A38" s="1">
        <v>52778</v>
      </c>
      <c r="B38" s="1">
        <v>52596</v>
      </c>
      <c r="C38">
        <v>28</v>
      </c>
      <c r="D38">
        <v>1134.343064226598</v>
      </c>
      <c r="E38">
        <v>1134.343064226598</v>
      </c>
      <c r="F38">
        <v>1134.343064226598</v>
      </c>
      <c r="G38">
        <v>0</v>
      </c>
      <c r="H38">
        <v>0</v>
      </c>
      <c r="I38">
        <f>F38+G38-H38</f>
        <v>1134.3430642265978</v>
      </c>
      <c r="J38">
        <f>I38-D38</f>
        <v>0.0</v>
      </c>
      <c r="L38">
        <f>E38</f>
        <v>1134.3430642265978</v>
      </c>
      <c r="M38">
        <f>(1+$B$2)^((A38-$B$3)/365)</f>
        <v>2.060647768452697</v>
      </c>
      <c r="N38">
        <f>IF(A38&lt;=$B$4,L38/M38,0)</f>
        <v>0</v>
      </c>
      <c r="O38">
        <f>IF(A38&lt;=$B$5,L38/M38,0)</f>
        <v>0</v>
      </c>
      <c r="P38">
        <f>IF(A38&lt;=$B$6,L38/M38,0)</f>
        <v>550.4788744552668</v>
      </c>
    </row>
    <row r="39" spans="1:16">
      <c r="A39" s="1">
        <v>52962</v>
      </c>
      <c r="B39" s="1">
        <v>52778</v>
      </c>
      <c r="C39">
        <v>29</v>
      </c>
      <c r="D39">
        <v>608.1518995311751</v>
      </c>
      <c r="E39">
        <v>608.1518995311751</v>
      </c>
      <c r="F39">
        <v>1146.808372624692</v>
      </c>
      <c r="G39">
        <v>0</v>
      </c>
      <c r="H39">
        <v>538.656473093517</v>
      </c>
      <c r="I39">
        <f>F39+G39-H39</f>
        <v>608.1518995311751</v>
      </c>
      <c r="J39">
        <f>I39-D39</f>
        <v>0.0</v>
      </c>
      <c r="L39">
        <f>E39</f>
        <v>608.1518995311751</v>
      </c>
      <c r="M39">
        <f>(1+$B$2)^((A39-$B$3)/365)</f>
        <v>2.1170228762937677</v>
      </c>
      <c r="N39">
        <f>IF(A39&lt;=$B$4,L39/M39,0)</f>
        <v>0</v>
      </c>
      <c r="O39">
        <f>IF(A39&lt;=$B$5,L39/M39,0)</f>
        <v>0</v>
      </c>
      <c r="P39">
        <f>IF(A39&lt;=$B$6,L39/M39,0)</f>
        <v>287.26751436708855</v>
      </c>
    </row>
    <row r="40" spans="1:16">
      <c r="A40" s="1">
        <v>53143</v>
      </c>
      <c r="B40" s="1">
        <v>52962</v>
      </c>
      <c r="C40">
        <v>30</v>
      </c>
      <c r="D40">
        <v>1153.825145949275</v>
      </c>
      <c r="E40">
        <v>1153.825145949275</v>
      </c>
      <c r="F40">
        <v>1153.825145949275</v>
      </c>
      <c r="G40">
        <v>0</v>
      </c>
      <c r="H40">
        <v>0</v>
      </c>
      <c r="I40">
        <f>F40+G40-H40</f>
        <v>1153.8251459492749</v>
      </c>
      <c r="J40">
        <f>I40-D40</f>
        <v>0.0</v>
      </c>
      <c r="L40">
        <f>E40</f>
        <v>1153.8251459492749</v>
      </c>
      <c r="M40">
        <f>(1+$B$2)^((A40-$B$3)/365)</f>
        <v>2.173983395717595</v>
      </c>
      <c r="N40">
        <f>IF(A40&lt;=$B$4,L40/M40,0)</f>
        <v>0</v>
      </c>
      <c r="O40">
        <f>IF(A40&lt;=$B$5,L40/M40,0)</f>
        <v>0</v>
      </c>
      <c r="P40">
        <f>IF(A40&lt;=$B$6,L40/M40,0)</f>
        <v>530.7423912354293</v>
      </c>
    </row>
    <row r="41" spans="1:16">
      <c r="A41" s="1">
        <v>53327</v>
      </c>
      <c r="B41" s="1">
        <v>53143</v>
      </c>
      <c r="C41">
        <v>31</v>
      </c>
      <c r="D41">
        <v>622.8904962858128</v>
      </c>
      <c r="E41">
        <v>622.8904962858128</v>
      </c>
      <c r="F41">
        <v>1172.949319639042</v>
      </c>
      <c r="G41">
        <v>0</v>
      </c>
      <c r="H41">
        <v>550.0588233532287</v>
      </c>
      <c r="I41">
        <f>F41+G41-H41</f>
        <v>622.8904962858128</v>
      </c>
      <c r="J41">
        <f>I41-D41</f>
        <v>0.0</v>
      </c>
      <c r="L41">
        <f>E41</f>
        <v>622.8904962858128</v>
      </c>
      <c r="M41">
        <f>(1+$B$2)^((A41-$B$3)/365)</f>
        <v>2.233459134489925</v>
      </c>
      <c r="N41">
        <f>IF(A41&lt;=$B$4,L41/M41,0)</f>
        <v>0</v>
      </c>
      <c r="O41">
        <f>IF(A41&lt;=$B$5,L41/M41,0)</f>
        <v>0</v>
      </c>
      <c r="P41">
        <f>IF(A41&lt;=$B$6,L41/M41,0)</f>
        <v>278.89048277933585</v>
      </c>
    </row>
    <row r="42" spans="1:16">
      <c r="A42" s="1">
        <v>53508</v>
      </c>
      <c r="B42" s="1">
        <v>53327</v>
      </c>
      <c r="C42">
        <v>32</v>
      </c>
      <c r="D42">
        <v>1176.90164886826</v>
      </c>
      <c r="E42">
        <v>1176.90164886826</v>
      </c>
      <c r="F42">
        <v>1176.90164886826</v>
      </c>
      <c r="G42">
        <v>0</v>
      </c>
      <c r="H42">
        <v>0</v>
      </c>
      <c r="I42">
        <f>F42+G42-H42</f>
        <v>1176.90164886826</v>
      </c>
      <c r="J42">
        <f>I42-D42</f>
        <v>0.0</v>
      </c>
      <c r="L42">
        <f>E42</f>
        <v>1176.90164886826</v>
      </c>
      <c r="M42">
        <f>(1+$B$2)^((A42-$B$3)/365)</f>
        <v>2.2935524824820623</v>
      </c>
      <c r="N42">
        <f>IF(A42&lt;=$B$4,L42/M42,0)</f>
        <v>0</v>
      </c>
      <c r="O42">
        <f>IF(A42&lt;=$B$5,L42/M42,0)</f>
        <v>0</v>
      </c>
      <c r="P42">
        <f>IF(A42&lt;=$B$6,L42/M42,0)</f>
        <v>513.1348237536852</v>
      </c>
    </row>
    <row r="43" spans="1:16">
      <c r="A43" s="1">
        <v>53692</v>
      </c>
      <c r="B43" s="1">
        <v>53508</v>
      </c>
      <c r="C43">
        <v>33</v>
      </c>
      <c r="D43">
        <v>634.7149728781958</v>
      </c>
      <c r="E43">
        <v>634.7149728781958</v>
      </c>
      <c r="F43">
        <v>1196.408306031822</v>
      </c>
      <c r="G43">
        <v>0</v>
      </c>
      <c r="H43">
        <v>561.6933331536266</v>
      </c>
      <c r="I43">
        <f>F43+G43-H43</f>
        <v>634.7149728781958</v>
      </c>
      <c r="J43">
        <f>I43-D43</f>
        <v>0.0</v>
      </c>
      <c r="L43">
        <f>E43</f>
        <v>634.7149728781958</v>
      </c>
      <c r="M43">
        <f>(1+$B$2)^((A43-$B$3)/365)</f>
        <v>2.356299386886871</v>
      </c>
      <c r="N43">
        <f>IF(A43&lt;=$B$4,L43/M43,0)</f>
        <v>0</v>
      </c>
      <c r="O43">
        <f>IF(A43&lt;=$B$5,L43/M43,0)</f>
        <v>0</v>
      </c>
      <c r="P43">
        <f>IF(A43&lt;=$B$6,L43/M43,0)</f>
        <v>269.36940883254124</v>
      </c>
    </row>
    <row r="44" spans="1:16">
      <c r="A44" s="1">
        <v>53873</v>
      </c>
      <c r="B44" s="1">
        <v>53692</v>
      </c>
      <c r="C44">
        <v>34</v>
      </c>
      <c r="D44">
        <v>1200.439681845625</v>
      </c>
      <c r="E44">
        <v>1200.439681845625</v>
      </c>
      <c r="F44">
        <v>1200.439681845625</v>
      </c>
      <c r="G44">
        <v>0</v>
      </c>
      <c r="H44">
        <v>0</v>
      </c>
      <c r="I44">
        <f>F44+G44-H44</f>
        <v>1200.4396818456248</v>
      </c>
      <c r="J44">
        <f>I44-D44</f>
        <v>0.0</v>
      </c>
      <c r="L44">
        <f>E44</f>
        <v>1200.4396818456248</v>
      </c>
      <c r="M44">
        <f>(1+$B$2)^((A44-$B$3)/365)</f>
        <v>2.419697869018576</v>
      </c>
      <c r="N44">
        <f>IF(A44&lt;=$B$4,L44/M44,0)</f>
        <v>0</v>
      </c>
      <c r="O44">
        <f>IF(A44&lt;=$B$5,L44/M44,0)</f>
        <v>0</v>
      </c>
      <c r="P44">
        <f>IF(A44&lt;=$B$6,L44/M44,0)</f>
        <v>496.1113935817617</v>
      </c>
    </row>
    <row r="45" spans="1:16">
      <c r="A45" s="1">
        <v>54057</v>
      </c>
      <c r="B45" s="1">
        <v>53873</v>
      </c>
      <c r="C45">
        <v>35</v>
      </c>
      <c r="D45">
        <v>646.7803227980145</v>
      </c>
      <c r="E45">
        <v>646.7803227980145</v>
      </c>
      <c r="F45">
        <v>1220.336472152459</v>
      </c>
      <c r="G45">
        <v>0</v>
      </c>
      <c r="H45">
        <v>573.5561493544443</v>
      </c>
      <c r="I45">
        <f>F45+G45-H45</f>
        <v>646.7803227980145</v>
      </c>
      <c r="J45">
        <f>I45-D45</f>
        <v>0.0</v>
      </c>
      <c r="L45">
        <f>E45</f>
        <v>646.7803227980145</v>
      </c>
      <c r="M45">
        <f>(1+$B$2)^((A45-$B$3)/365)</f>
        <v>2.485895853165649</v>
      </c>
      <c r="N45">
        <f>IF(A45&lt;=$B$4,L45/M45,0)</f>
        <v>0</v>
      </c>
      <c r="O45">
        <f>IF(A45&lt;=$B$5,L45/M45,0)</f>
        <v>0</v>
      </c>
      <c r="P45">
        <f>IF(A45&lt;=$B$6,L45/M45,0)</f>
        <v>260.17997575175</v>
      </c>
    </row>
    <row r="46" spans="1:16">
      <c r="A46" s="1">
        <v>54239</v>
      </c>
      <c r="B46" s="1">
        <v>54057</v>
      </c>
      <c r="C46">
        <v>36</v>
      </c>
      <c r="D46">
        <v>1227.849413191815</v>
      </c>
      <c r="E46">
        <v>1227.849413191815</v>
      </c>
      <c r="F46">
        <v>1227.849413191815</v>
      </c>
      <c r="G46">
        <v>0</v>
      </c>
      <c r="H46">
        <v>0</v>
      </c>
      <c r="I46">
        <f>F46+G46-H46</f>
        <v>1227.849413191815</v>
      </c>
      <c r="J46">
        <f>I46-D46</f>
        <v>0.0</v>
      </c>
      <c r="L46">
        <f>E46</f>
        <v>1227.849413191815</v>
      </c>
      <c r="M46">
        <f>(1+$B$2)^((A46-$B$3)/365)</f>
        <v>2.553155739187055</v>
      </c>
      <c r="N46">
        <f>IF(A46&lt;=$B$4,L46/M46,0)</f>
        <v>0</v>
      </c>
      <c r="O46">
        <f>IF(A46&lt;=$B$5,L46/M46,0)</f>
        <v>0</v>
      </c>
      <c r="P46">
        <f>IF(A46&lt;=$B$6,L46/M46,0)</f>
        <v>480.91442067015157</v>
      </c>
    </row>
    <row r="47" spans="1:16">
      <c r="A47" s="1">
        <v>54423</v>
      </c>
      <c r="B47" s="1">
        <v>54239</v>
      </c>
      <c r="C47">
        <v>37</v>
      </c>
      <c r="D47">
        <v>655.672802944276</v>
      </c>
      <c r="E47">
        <v>655.672802944276</v>
      </c>
      <c r="F47">
        <v>1241.34226388623</v>
      </c>
      <c r="G47">
        <v>0</v>
      </c>
      <c r="H47">
        <v>585.6694609419543</v>
      </c>
      <c r="I47">
        <f>F47+G47-H47</f>
        <v>655.672802944276</v>
      </c>
      <c r="J47">
        <f>I47-D47</f>
        <v>0.0</v>
      </c>
      <c r="L47">
        <f>E47</f>
        <v>655.672802944276</v>
      </c>
      <c r="M47">
        <f>(1+$B$2)^((A47-$B$3)/365)</f>
        <v>2.6230048576707046</v>
      </c>
      <c r="N47">
        <f>IF(A47&lt;=$B$4,L47/M47,0)</f>
        <v>0</v>
      </c>
      <c r="O47">
        <f>IF(A47&lt;=$B$5,L47/M47,0)</f>
        <v>0</v>
      </c>
      <c r="P47">
        <f>IF(A47&lt;=$B$6,L47/M47,0)</f>
        <v>249.970106241637</v>
      </c>
    </row>
    <row r="48" spans="1:16">
      <c r="A48" s="1">
        <v>54604</v>
      </c>
      <c r="B48" s="1">
        <v>54423</v>
      </c>
      <c r="C48">
        <v>38</v>
      </c>
      <c r="D48">
        <v>1248.937444992189</v>
      </c>
      <c r="E48">
        <v>1248.937444992189</v>
      </c>
      <c r="F48">
        <v>1248.937444992189</v>
      </c>
      <c r="G48">
        <v>0</v>
      </c>
      <c r="H48">
        <v>0</v>
      </c>
      <c r="I48">
        <f>F48+G48-H48</f>
        <v>1248.9374449921888</v>
      </c>
      <c r="J48">
        <f>I48-D48</f>
        <v>0.0</v>
      </c>
      <c r="L48">
        <f>E48</f>
        <v>1248.9374449921888</v>
      </c>
      <c r="M48">
        <f>(1+$B$2)^((A48-$B$3)/365)</f>
        <v>2.693579304842343</v>
      </c>
      <c r="N48">
        <f>IF(A48&lt;=$B$4,L48/M48,0)</f>
        <v>0</v>
      </c>
      <c r="O48">
        <f>IF(A48&lt;=$B$5,L48/M48,0)</f>
        <v>0</v>
      </c>
      <c r="P48">
        <f>IF(A48&lt;=$B$6,L48/M48,0)</f>
        <v>463.67205255361506</v>
      </c>
    </row>
    <row r="49" spans="1:16">
      <c r="A49" s="1">
        <v>54788</v>
      </c>
      <c r="B49" s="1">
        <v>54604</v>
      </c>
      <c r="C49">
        <v>39</v>
      </c>
      <c r="D49">
        <v>671.6263536047911</v>
      </c>
      <c r="E49">
        <v>671.6263536047911</v>
      </c>
      <c r="F49">
        <v>1269.638065627418</v>
      </c>
      <c r="G49">
        <v>0</v>
      </c>
      <c r="H49">
        <v>598.0117120226273</v>
      </c>
      <c r="I49">
        <f>F49+G49-H49</f>
        <v>671.6263536047911</v>
      </c>
      <c r="J49">
        <f>I49-D49</f>
        <v>0.0</v>
      </c>
      <c r="L49">
        <f>E49</f>
        <v>671.6263536047911</v>
      </c>
      <c r="M49">
        <f>(1+$B$2)^((A49-$B$3)/365)</f>
        <v>2.7672701248425935</v>
      </c>
      <c r="N49">
        <f>IF(A49&lt;=$B$4,L49/M49,0)</f>
        <v>0</v>
      </c>
      <c r="O49">
        <f>IF(A49&lt;=$B$5,L49/M49,0)</f>
        <v>0</v>
      </c>
      <c r="P49">
        <f>IF(A49&lt;=$B$6,L49/M49,0)</f>
        <v>242.70357547512432</v>
      </c>
    </row>
    <row r="50" spans="1:16">
      <c r="A50" s="1">
        <v>54969</v>
      </c>
      <c r="B50" s="1">
        <v>54788</v>
      </c>
      <c r="C50">
        <v>40</v>
      </c>
      <c r="D50">
        <v>1273.916193892032</v>
      </c>
      <c r="E50">
        <v>1273.916193892032</v>
      </c>
      <c r="F50">
        <v>1273.916193892032</v>
      </c>
      <c r="G50">
        <v>0</v>
      </c>
      <c r="H50">
        <v>0</v>
      </c>
      <c r="I50">
        <f>F50+G50-H50</f>
        <v>1273.916193892032</v>
      </c>
      <c r="J50">
        <f>I50-D50</f>
        <v>0.0</v>
      </c>
      <c r="L50">
        <f>E50</f>
        <v>1273.916193892032</v>
      </c>
      <c r="M50">
        <f>(1+$B$2)^((A50-$B$3)/365)</f>
        <v>2.8417261666086717</v>
      </c>
      <c r="N50">
        <f>IF(A50&lt;=$B$4,L50/M50,0)</f>
        <v>0</v>
      </c>
      <c r="O50">
        <f>IF(A50&lt;=$B$5,L50/M50,0)</f>
        <v>0</v>
      </c>
      <c r="P50">
        <f>IF(A50&lt;=$B$6,L50/M50,0)</f>
        <v>448.28956739780773</v>
      </c>
    </row>
    <row r="51" spans="1:16">
      <c r="A51" s="1">
        <v>55153</v>
      </c>
      <c r="B51" s="1">
        <v>54969</v>
      </c>
      <c r="C51">
        <v>41</v>
      </c>
      <c r="D51">
        <v>686.1335331617606</v>
      </c>
      <c r="E51">
        <v>686.1335331617606</v>
      </c>
      <c r="F51">
        <v>1295.030826939967</v>
      </c>
      <c r="G51">
        <v>0</v>
      </c>
      <c r="H51">
        <v>608.8972937782062</v>
      </c>
      <c r="I51">
        <f>F51+G51-H51</f>
        <v>686.1335331617606</v>
      </c>
      <c r="J51">
        <f>I51-D51</f>
        <v>0.0</v>
      </c>
      <c r="L51">
        <f>E51</f>
        <v>686.1335331617606</v>
      </c>
      <c r="M51">
        <f>(1+$B$2)^((A51-$B$3)/365)</f>
        <v>2.919469981708936</v>
      </c>
      <c r="N51">
        <f>IF(A51&lt;=$B$4,L51/M51,0)</f>
        <v>0</v>
      </c>
      <c r="O51">
        <f>IF(A51&lt;=$B$5,L51/M51,0)</f>
        <v>0</v>
      </c>
      <c r="P51">
        <f>IF(A51&lt;=$B$6,L51/M51,0)</f>
        <v>235.01989657729814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15">
      <c r="A1" t="s">
        <v>41</v>
      </c>
      <c r="B1">
        <v>0.08</v>
      </c>
      <c r="C1" t="s">
        <v>42</v>
      </c>
      <c r="D1">
        <v>0.12</v>
      </c>
    </row>
    <row r="3" spans="1: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</row>
    <row r="4" spans="1:15">
      <c r="A4" s="1">
        <v>47664</v>
      </c>
      <c r="B4">
        <v>6310</v>
      </c>
      <c r="C4">
        <v>0</v>
      </c>
      <c r="D4">
        <v>0</v>
      </c>
      <c r="E4">
        <v>0</v>
      </c>
      <c r="F4">
        <f>-B4+C4-D4+E4</f>
        <v>-6310.0</v>
      </c>
      <c r="G4">
        <f>F4/((1+$B$1)^((A4-$A$4)/365))</f>
        <v>-6310.0</v>
      </c>
      <c r="H4" s="1">
        <v>47484</v>
      </c>
      <c r="I4">
        <v>500</v>
      </c>
      <c r="J4">
        <v>2987.805234805809</v>
      </c>
      <c r="K4">
        <v>0</v>
      </c>
      <c r="L4">
        <v>0</v>
      </c>
      <c r="M4">
        <v>0</v>
      </c>
      <c r="N4">
        <f>-I4-J4+K4+L4+M4</f>
        <v>-3487.805234805809</v>
      </c>
      <c r="O4">
        <f>N4/((1+$D$1)^((H4-$H$4)/365))</f>
        <v>-3487.805234805809</v>
      </c>
    </row>
    <row r="5" spans="1:15">
      <c r="A5" s="1">
        <v>47848</v>
      </c>
      <c r="B5">
        <v>2690</v>
      </c>
      <c r="C5">
        <v>0</v>
      </c>
      <c r="D5">
        <v>0</v>
      </c>
      <c r="E5">
        <v>0</v>
      </c>
      <c r="F5">
        <f>-B5+C5-D5+E5</f>
        <v>-2690.0</v>
      </c>
      <c r="G5">
        <f>F5/((1+$B$1)^((A5-$A$4)/365))</f>
        <v>-2587.6351647053525</v>
      </c>
      <c r="H5" s="1">
        <v>47665</v>
      </c>
      <c r="I5">
        <v>0</v>
      </c>
      <c r="J5">
        <v>0</v>
      </c>
      <c r="K5">
        <v>0</v>
      </c>
      <c r="L5">
        <v>0</v>
      </c>
      <c r="M5">
        <v>0</v>
      </c>
      <c r="N5">
        <f>-I5-J5+K5+L5+M5</f>
        <v>0.0</v>
      </c>
      <c r="O5">
        <f>N5/((1+$D$1)^((H5-$H$4)/365))</f>
        <v>0.0</v>
      </c>
    </row>
    <row r="6" spans="1:15">
      <c r="A6" s="1">
        <v>48029</v>
      </c>
      <c r="B6">
        <v>0</v>
      </c>
      <c r="C6">
        <v>334.2512387059166</v>
      </c>
      <c r="D6">
        <v>0</v>
      </c>
      <c r="E6">
        <v>0</v>
      </c>
      <c r="F6">
        <f>-B6+C6-D6+E6</f>
        <v>334.25123870591665</v>
      </c>
      <c r="G6">
        <f>F6/((1+$B$1)^((A6-$A$4)/365))</f>
        <v>309.4918876906636</v>
      </c>
      <c r="H6" s="1">
        <v>48029</v>
      </c>
      <c r="I6">
        <v>0</v>
      </c>
      <c r="J6">
        <v>0</v>
      </c>
      <c r="K6">
        <v>0</v>
      </c>
      <c r="L6">
        <v>77.13490123982695</v>
      </c>
      <c r="M6">
        <v>0</v>
      </c>
      <c r="N6">
        <f>-I6-J6+K6+L6+M6</f>
        <v>77.13490123982695</v>
      </c>
      <c r="O6">
        <f>N6/((1+$D$1)^((H6-$H$4)/365))</f>
        <v>65.12698953050632</v>
      </c>
    </row>
    <row r="7" spans="1:15">
      <c r="A7" s="1">
        <v>48213</v>
      </c>
      <c r="B7">
        <v>0</v>
      </c>
      <c r="C7">
        <v>339.7913144855728</v>
      </c>
      <c r="D7">
        <v>0</v>
      </c>
      <c r="E7">
        <v>0</v>
      </c>
      <c r="F7">
        <f>-B7+C7-D7+E7</f>
        <v>339.7913144855728</v>
      </c>
      <c r="G7">
        <f>F7/((1+$B$1)^((A7-$A$4)/365))</f>
        <v>302.64902726983456</v>
      </c>
      <c r="H7" s="1">
        <v>48213</v>
      </c>
      <c r="I7">
        <v>0</v>
      </c>
      <c r="J7">
        <v>0</v>
      </c>
      <c r="K7">
        <v>0</v>
      </c>
      <c r="L7">
        <v>78.41338026590142</v>
      </c>
      <c r="M7">
        <v>0</v>
      </c>
      <c r="N7">
        <f>-I7-J7+K7+L7+M7</f>
        <v>78.41338026590142</v>
      </c>
      <c r="O7">
        <f>N7/((1+$D$1)^((H7-$H$4)/365))</f>
        <v>62.530078588187614</v>
      </c>
    </row>
    <row r="8" spans="1:15">
      <c r="A8" s="1">
        <v>48395</v>
      </c>
      <c r="B8">
        <v>0</v>
      </c>
      <c r="C8">
        <v>618.1524938960584</v>
      </c>
      <c r="D8">
        <v>0</v>
      </c>
      <c r="E8">
        <v>0</v>
      </c>
      <c r="F8">
        <f>-B8+C8-D8+E8</f>
        <v>618.1524938960584</v>
      </c>
      <c r="G8">
        <f>F8/((1+$B$1)^((A8-$A$4)/365))</f>
        <v>529.8543971562243</v>
      </c>
      <c r="H8" s="1">
        <v>48395</v>
      </c>
      <c r="I8">
        <v>0</v>
      </c>
      <c r="J8">
        <v>0</v>
      </c>
      <c r="K8">
        <v>20.40422746369539</v>
      </c>
      <c r="L8">
        <v>122.2463480507797</v>
      </c>
      <c r="M8">
        <v>0</v>
      </c>
      <c r="N8">
        <f>-I8-J8+K8+L8+M8</f>
        <v>142.65057551447507</v>
      </c>
      <c r="O8">
        <f>N8/((1+$D$1)^((H8-$H$4)/365))</f>
        <v>107.50551334236629</v>
      </c>
    </row>
    <row r="9" spans="1:15">
      <c r="A9" s="1">
        <v>48579</v>
      </c>
      <c r="B9">
        <v>0</v>
      </c>
      <c r="C9">
        <v>624.9453784443666</v>
      </c>
      <c r="D9">
        <v>96.68326559797907</v>
      </c>
      <c r="E9">
        <v>0</v>
      </c>
      <c r="F9">
        <f>-B9+C9-D9+E9</f>
        <v>528.2621128463875</v>
      </c>
      <c r="G9">
        <f>F9/((1+$B$1)^((A9-$A$4)/365))</f>
        <v>435.57319489605385</v>
      </c>
      <c r="H9" s="1">
        <v>48579</v>
      </c>
      <c r="I9">
        <v>0</v>
      </c>
      <c r="J9">
        <v>0</v>
      </c>
      <c r="K9">
        <v>20.62844974351621</v>
      </c>
      <c r="L9">
        <v>123.5897145128761</v>
      </c>
      <c r="M9">
        <v>0</v>
      </c>
      <c r="N9">
        <f>-I9-J9+K9+L9+M9</f>
        <v>144.21816425639236</v>
      </c>
      <c r="O9">
        <f>N9/((1+$D$1)^((H9-$H$4)/365))</f>
        <v>102.65164069361018</v>
      </c>
    </row>
    <row r="10" spans="1:15">
      <c r="A10" s="1">
        <v>48760</v>
      </c>
      <c r="B10">
        <v>0</v>
      </c>
      <c r="C10">
        <v>909.7832533955111</v>
      </c>
      <c r="D10">
        <v>0</v>
      </c>
      <c r="E10">
        <v>0</v>
      </c>
      <c r="F10">
        <f>-B10+C10-D10+E10</f>
        <v>909.7832533955111</v>
      </c>
      <c r="G10">
        <f>F10/((1+$B$1)^((A10-$A$4)/365))</f>
        <v>722.0630142818526</v>
      </c>
      <c r="H10" s="1">
        <v>48760</v>
      </c>
      <c r="I10">
        <v>0</v>
      </c>
      <c r="J10">
        <v>0</v>
      </c>
      <c r="K10">
        <v>88.04223545960026</v>
      </c>
      <c r="L10">
        <v>121.9077460932102</v>
      </c>
      <c r="M10">
        <v>0</v>
      </c>
      <c r="N10">
        <f>-I10-J10+K10+L10+M10</f>
        <v>209.9499815528104</v>
      </c>
      <c r="O10">
        <f>N10/((1+$D$1)^((H10-$H$4)/365))</f>
        <v>141.2716531640137</v>
      </c>
    </row>
    <row r="11" spans="1:15">
      <c r="A11" s="1">
        <v>48944</v>
      </c>
      <c r="B11">
        <v>0</v>
      </c>
      <c r="C11">
        <v>924.8625338385307</v>
      </c>
      <c r="D11">
        <v>267.0199122759154</v>
      </c>
      <c r="E11">
        <v>0</v>
      </c>
      <c r="F11">
        <f>-B11+C11-D11+E11</f>
        <v>657.8426215626152</v>
      </c>
      <c r="G11">
        <f>F11/((1+$B$1)^((A11-$A$4)/365))</f>
        <v>502.23842210131045</v>
      </c>
      <c r="H11" s="1">
        <v>48944</v>
      </c>
      <c r="I11">
        <v>0</v>
      </c>
      <c r="J11">
        <v>0</v>
      </c>
      <c r="K11">
        <v>89.50149903075373</v>
      </c>
      <c r="L11">
        <v>123.9283164704457</v>
      </c>
      <c r="M11">
        <v>0</v>
      </c>
      <c r="N11">
        <f>-I11-J11+K11+L11+M11</f>
        <v>213.4298155011994</v>
      </c>
      <c r="O11">
        <f>N11/((1+$D$1)^((H11-$H$4)/365))</f>
        <v>135.63850622161993</v>
      </c>
    </row>
    <row r="12" spans="1:15">
      <c r="A12" s="1">
        <v>49125</v>
      </c>
      <c r="B12">
        <v>0</v>
      </c>
      <c r="C12">
        <v>927.9789184634224</v>
      </c>
      <c r="D12">
        <v>0</v>
      </c>
      <c r="E12">
        <v>0</v>
      </c>
      <c r="F12">
        <f>-B12+C12-D12+E12</f>
        <v>927.9789184634224</v>
      </c>
      <c r="G12">
        <f>F12/((1+$B$1)^((A12-$A$4)/365))</f>
        <v>681.948402377306</v>
      </c>
      <c r="H12" s="1">
        <v>49125</v>
      </c>
      <c r="I12">
        <v>0</v>
      </c>
      <c r="J12">
        <v>0</v>
      </c>
      <c r="K12">
        <v>92.24123509065653</v>
      </c>
      <c r="L12">
        <v>121.9077460932102</v>
      </c>
      <c r="M12">
        <v>0</v>
      </c>
      <c r="N12">
        <f>-I12-J12+K12+L12+M12</f>
        <v>214.14898118386668</v>
      </c>
      <c r="O12">
        <f>N12/((1+$D$1)^((H12-$H$4)/365))</f>
        <v>128.6581127029411</v>
      </c>
    </row>
    <row r="13" spans="1:15">
      <c r="A13" s="1">
        <v>49309</v>
      </c>
      <c r="B13">
        <v>0</v>
      </c>
      <c r="C13">
        <v>943.359784515302</v>
      </c>
      <c r="D13">
        <v>276.1936438547675</v>
      </c>
      <c r="E13">
        <v>0</v>
      </c>
      <c r="F13">
        <f>-B13+C13-D13+E13</f>
        <v>667.1661406605344</v>
      </c>
      <c r="G13">
        <f>F13/((1+$B$1)^((A13-$A$4)/365))</f>
        <v>471.6264655913635</v>
      </c>
      <c r="H13" s="1">
        <v>49309</v>
      </c>
      <c r="I13">
        <v>0</v>
      </c>
      <c r="J13">
        <v>0</v>
      </c>
      <c r="K13">
        <v>81.81310194590333</v>
      </c>
      <c r="L13">
        <v>123.9283164704457</v>
      </c>
      <c r="M13">
        <v>0</v>
      </c>
      <c r="N13">
        <f>-I13-J13+K13+L13+M13</f>
        <v>205.741418416349</v>
      </c>
      <c r="O13">
        <f>N13/((1+$D$1)^((H13-$H$4)/365))</f>
        <v>116.74320614307365</v>
      </c>
    </row>
    <row r="14" spans="1:15">
      <c r="A14" s="1">
        <v>49490</v>
      </c>
      <c r="B14">
        <v>0</v>
      </c>
      <c r="C14">
        <v>946.5384968326905</v>
      </c>
      <c r="D14">
        <v>0</v>
      </c>
      <c r="E14">
        <v>0</v>
      </c>
      <c r="F14">
        <f>-B14+C14-D14+E14</f>
        <v>946.5384968326905</v>
      </c>
      <c r="G14">
        <f>F14/((1+$B$1)^((A14-$A$4)/365))</f>
        <v>644.062380023011</v>
      </c>
      <c r="H14" s="1">
        <v>49490</v>
      </c>
      <c r="I14">
        <v>0</v>
      </c>
      <c r="J14">
        <v>0</v>
      </c>
      <c r="K14">
        <v>96.52421471433384</v>
      </c>
      <c r="L14">
        <v>121.9077460932102</v>
      </c>
      <c r="M14">
        <v>0</v>
      </c>
      <c r="N14">
        <f>-I14-J14+K14+L14+M14</f>
        <v>218.431960807544</v>
      </c>
      <c r="O14">
        <f>N14/((1+$D$1)^((H14-$H$4)/365))</f>
        <v>117.17078121160708</v>
      </c>
    </row>
    <row r="15" spans="1:15">
      <c r="A15" s="1">
        <v>49674</v>
      </c>
      <c r="B15">
        <v>0</v>
      </c>
      <c r="C15">
        <v>962.2269802056078</v>
      </c>
      <c r="D15">
        <v>285.7125757293178</v>
      </c>
      <c r="E15">
        <v>0</v>
      </c>
      <c r="F15">
        <f>-B15+C15-D15+E15</f>
        <v>676.51440447629</v>
      </c>
      <c r="G15">
        <f>F15/((1+$B$1)^((A15-$A$4)/365))</f>
        <v>442.8100439382424</v>
      </c>
      <c r="H15" s="1">
        <v>49674</v>
      </c>
      <c r="I15">
        <v>0</v>
      </c>
      <c r="J15">
        <v>0</v>
      </c>
      <c r="K15">
        <v>57.77461882129126</v>
      </c>
      <c r="L15">
        <v>123.9283164704457</v>
      </c>
      <c r="M15">
        <v>0</v>
      </c>
      <c r="N15">
        <f>-I15-J15+K15+L15+M15</f>
        <v>181.70293529173694</v>
      </c>
      <c r="O15">
        <f>N15/((1+$D$1)^((H15-$H$4)/365))</f>
        <v>92.05636182806288</v>
      </c>
    </row>
    <row r="16" spans="1:15">
      <c r="A16" s="1">
        <v>49856</v>
      </c>
      <c r="B16">
        <v>0</v>
      </c>
      <c r="C16">
        <v>968.1508829436871</v>
      </c>
      <c r="D16">
        <v>0</v>
      </c>
      <c r="E16">
        <v>0</v>
      </c>
      <c r="F16">
        <f>-B16+C16-D16+E16</f>
        <v>968.1508829436871</v>
      </c>
      <c r="G16">
        <f>F16/((1+$B$1)^((A16-$A$4)/365))</f>
        <v>609.8420534004765</v>
      </c>
      <c r="H16" s="1">
        <v>49856</v>
      </c>
      <c r="I16">
        <v>0</v>
      </c>
      <c r="J16">
        <v>0</v>
      </c>
      <c r="K16">
        <v>101.1730864746865</v>
      </c>
      <c r="L16">
        <v>122.2463480507797</v>
      </c>
      <c r="M16">
        <v>0</v>
      </c>
      <c r="N16">
        <f>-I16-J16+K16+L16+M16</f>
        <v>223.41943452546616</v>
      </c>
      <c r="O16">
        <f>N16/((1+$D$1)^((H16-$H$4)/365))</f>
        <v>106.97227272020724</v>
      </c>
    </row>
    <row r="17" spans="1:15">
      <c r="A17" s="1">
        <v>50040</v>
      </c>
      <c r="B17">
        <v>0</v>
      </c>
      <c r="C17">
        <v>978.789903635376</v>
      </c>
      <c r="D17">
        <v>355.0978582973552</v>
      </c>
      <c r="E17">
        <v>0</v>
      </c>
      <c r="F17">
        <f>-B17+C17-D17+E17</f>
        <v>623.6920453380209</v>
      </c>
      <c r="G17">
        <f>F17/((1+$B$1)^((A17-$A$4)/365))</f>
        <v>377.9160116359824</v>
      </c>
      <c r="H17" s="1">
        <v>50040</v>
      </c>
      <c r="I17">
        <v>0</v>
      </c>
      <c r="J17">
        <v>0</v>
      </c>
      <c r="K17">
        <v>41.87055892581888</v>
      </c>
      <c r="L17">
        <v>123.5897145128761</v>
      </c>
      <c r="M17">
        <v>0</v>
      </c>
      <c r="N17">
        <f>-I17-J17+K17+L17+M17</f>
        <v>165.46027343869503</v>
      </c>
      <c r="O17">
        <f>N17/((1+$D$1)^((H17-$H$4)/365))</f>
        <v>74.82258962036853</v>
      </c>
    </row>
    <row r="18" spans="1:15">
      <c r="A18" s="1">
        <v>50221</v>
      </c>
      <c r="B18">
        <v>0</v>
      </c>
      <c r="C18">
        <v>984.7786521047312</v>
      </c>
      <c r="D18">
        <v>0</v>
      </c>
      <c r="E18">
        <v>0</v>
      </c>
      <c r="F18">
        <f>-B18+C18-D18+E18</f>
        <v>984.7786521047312</v>
      </c>
      <c r="G18">
        <f>F18/((1+$B$1)^((A18-$A$4)/365))</f>
        <v>574.3666209900613</v>
      </c>
      <c r="H18" s="1">
        <v>50221</v>
      </c>
      <c r="I18">
        <v>0</v>
      </c>
      <c r="J18">
        <v>0</v>
      </c>
      <c r="K18">
        <v>105.3488659309587</v>
      </c>
      <c r="L18">
        <v>121.9077460932102</v>
      </c>
      <c r="M18">
        <v>0</v>
      </c>
      <c r="N18">
        <f>-I18-J18+K18+L18+M18</f>
        <v>227.25661202416882</v>
      </c>
      <c r="O18">
        <f>N18/((1+$D$1)^((H18-$H$4)/365))</f>
        <v>97.15133655990351</v>
      </c>
    </row>
    <row r="19" spans="1:15">
      <c r="A19" s="1">
        <v>50405</v>
      </c>
      <c r="B19">
        <v>0</v>
      </c>
      <c r="C19">
        <v>1001.100950205914</v>
      </c>
      <c r="D19">
        <v>364.8304377411633</v>
      </c>
      <c r="E19">
        <v>0</v>
      </c>
      <c r="F19">
        <f>-B19+C19-D19+E19</f>
        <v>636.2705124647508</v>
      </c>
      <c r="G19">
        <f>F19/((1+$B$1)^((A19-$A$4)/365))</f>
        <v>356.9793781652073</v>
      </c>
      <c r="H19" s="1">
        <v>50405</v>
      </c>
      <c r="I19">
        <v>0</v>
      </c>
      <c r="J19">
        <v>0</v>
      </c>
      <c r="K19">
        <v>40.22303408449204</v>
      </c>
      <c r="L19">
        <v>123.9283164704457</v>
      </c>
      <c r="M19">
        <v>0</v>
      </c>
      <c r="N19">
        <f>-I19-J19+K19+L19+M19</f>
        <v>164.15135055493772</v>
      </c>
      <c r="O19">
        <f>N19/((1+$D$1)^((H19-$H$4)/365))</f>
        <v>66.27739570558819</v>
      </c>
    </row>
    <row r="20" spans="1:15">
      <c r="A20" s="1">
        <v>50586</v>
      </c>
      <c r="B20">
        <v>0</v>
      </c>
      <c r="C20">
        <v>1004.474225146826</v>
      </c>
      <c r="D20">
        <v>0</v>
      </c>
      <c r="E20">
        <v>0</v>
      </c>
      <c r="F20">
        <f>-B20+C20-D20+E20</f>
        <v>1004.4742251468256</v>
      </c>
      <c r="G20">
        <f>F20/((1+$B$1)^((A20-$A$4)/365))</f>
        <v>542.4573642683911</v>
      </c>
      <c r="H20" s="1">
        <v>50586</v>
      </c>
      <c r="I20">
        <v>0</v>
      </c>
      <c r="J20">
        <v>0</v>
      </c>
      <c r="K20">
        <v>1629.980680937775</v>
      </c>
      <c r="L20">
        <v>121.9077460932102</v>
      </c>
      <c r="M20">
        <v>0</v>
      </c>
      <c r="N20">
        <f>-I20-J20+K20+L20+M20</f>
        <v>1751.8884270309854</v>
      </c>
      <c r="O20">
        <f>N20/((1+$D$1)^((H20-$H$4)/365))</f>
        <v>668.6836015853216</v>
      </c>
    </row>
    <row r="21" spans="1:15">
      <c r="A21" s="1">
        <v>50770</v>
      </c>
      <c r="B21">
        <v>0</v>
      </c>
      <c r="C21">
        <v>1021.122969210033</v>
      </c>
      <c r="D21">
        <v>374.7603798293198</v>
      </c>
      <c r="E21">
        <v>0</v>
      </c>
      <c r="F21">
        <f>-B21+C21-D21+E21</f>
        <v>646.3625893807127</v>
      </c>
      <c r="G21">
        <f>F21/((1+$B$1)^((A21-$A$4)/365))</f>
        <v>335.77919894445034</v>
      </c>
      <c r="H21" s="1">
        <v>50770</v>
      </c>
      <c r="I21">
        <v>0</v>
      </c>
      <c r="J21">
        <v>0</v>
      </c>
      <c r="K21">
        <v>583.9668774071652</v>
      </c>
      <c r="L21">
        <v>123.9283164704457</v>
      </c>
      <c r="M21">
        <v>0</v>
      </c>
      <c r="N21">
        <f>-I21-J21+K21+L21+M21</f>
        <v>707.8951938776108</v>
      </c>
      <c r="O21">
        <f>N21/((1+$D$1)^((H21-$H$4)/365))</f>
        <v>255.19485591073615</v>
      </c>
    </row>
    <row r="22" spans="1:15">
      <c r="A22" s="1">
        <v>50951</v>
      </c>
      <c r="B22">
        <v>0</v>
      </c>
      <c r="C22">
        <v>1024.563709649762</v>
      </c>
      <c r="D22">
        <v>0</v>
      </c>
      <c r="E22">
        <v>0</v>
      </c>
      <c r="F22">
        <f>-B22+C22-D22+E22</f>
        <v>1024.5637096497621</v>
      </c>
      <c r="G22">
        <f>F22/((1+$B$1)^((A22-$A$4)/365))</f>
        <v>512.3208440312583</v>
      </c>
      <c r="H22" s="1">
        <v>50951</v>
      </c>
      <c r="I22">
        <v>0</v>
      </c>
      <c r="J22">
        <v>0</v>
      </c>
      <c r="K22">
        <v>902.655963556552</v>
      </c>
      <c r="L22">
        <v>121.9077460932102</v>
      </c>
      <c r="M22">
        <v>0</v>
      </c>
      <c r="N22">
        <f>-I22-J22+K22+L22+M22</f>
        <v>1024.5637096497621</v>
      </c>
      <c r="O22">
        <f>N22/((1+$D$1)^((H22-$H$4)/365))</f>
        <v>349.1685951424336</v>
      </c>
    </row>
    <row r="23" spans="1:15">
      <c r="A23" s="1">
        <v>51135</v>
      </c>
      <c r="B23">
        <v>0</v>
      </c>
      <c r="C23">
        <v>1041.545428594233</v>
      </c>
      <c r="D23">
        <v>384.885962520123</v>
      </c>
      <c r="E23">
        <v>0</v>
      </c>
      <c r="F23">
        <f>-B23+C23-D23+E23</f>
        <v>656.65946607411</v>
      </c>
      <c r="G23">
        <f>F23/((1+$B$1)^((A23-$A$4)/365))</f>
        <v>315.85956310687664</v>
      </c>
      <c r="H23" s="1">
        <v>51135</v>
      </c>
      <c r="I23">
        <v>0</v>
      </c>
      <c r="J23">
        <v>0</v>
      </c>
      <c r="K23">
        <v>594.1897051875708</v>
      </c>
      <c r="L23">
        <v>123.9283164704457</v>
      </c>
      <c r="M23">
        <v>0</v>
      </c>
      <c r="N23">
        <f>-I23-J23+K23+L23+M23</f>
        <v>718.1180216580165</v>
      </c>
      <c r="O23">
        <f>N23/((1+$D$1)^((H23-$H$4)/365))</f>
        <v>231.1430050573133</v>
      </c>
    </row>
    <row r="24" spans="1:15">
      <c r="A24" s="1">
        <v>51317</v>
      </c>
      <c r="B24">
        <v>0</v>
      </c>
      <c r="C24">
        <v>1047.957651430643</v>
      </c>
      <c r="D24">
        <v>0</v>
      </c>
      <c r="E24">
        <v>0</v>
      </c>
      <c r="F24">
        <f>-B24+C24-D24+E24</f>
        <v>1047.957651430643</v>
      </c>
      <c r="G24">
        <f>F24/((1+$B$1)^((A24-$A$4)/365))</f>
        <v>485.1002095677835</v>
      </c>
      <c r="H24" s="1">
        <v>51317</v>
      </c>
      <c r="I24">
        <v>0</v>
      </c>
      <c r="J24">
        <v>0</v>
      </c>
      <c r="K24">
        <v>925.7113033798632</v>
      </c>
      <c r="L24">
        <v>122.2463480507797</v>
      </c>
      <c r="M24">
        <v>0</v>
      </c>
      <c r="N24">
        <f>-I24-J24+K24+L24+M24</f>
        <v>1047.957651430643</v>
      </c>
      <c r="O24">
        <f>N24/((1+$D$1)^((H24-$H$4)/365))</f>
        <v>318.7770688108037</v>
      </c>
    </row>
    <row r="25" spans="1:15">
      <c r="A25" s="1">
        <v>51501</v>
      </c>
      <c r="B25">
        <v>0</v>
      </c>
      <c r="C25">
        <v>1059.473669578232</v>
      </c>
      <c r="D25">
        <v>395.4969633496141</v>
      </c>
      <c r="E25">
        <v>0</v>
      </c>
      <c r="F25">
        <f>-B25+C25-D25+E25</f>
        <v>663.9767062286182</v>
      </c>
      <c r="G25">
        <f>F25/((1+$B$1)^((A25-$A$4)/365))</f>
        <v>295.65915906257175</v>
      </c>
      <c r="H25" s="1">
        <v>51501</v>
      </c>
      <c r="I25">
        <v>0</v>
      </c>
      <c r="J25">
        <v>0</v>
      </c>
      <c r="K25">
        <v>601.8464674136636</v>
      </c>
      <c r="L25">
        <v>123.5897145128761</v>
      </c>
      <c r="M25">
        <v>0</v>
      </c>
      <c r="N25">
        <f>-I25-J25+K25+L25+M25</f>
        <v>725.4361819265398</v>
      </c>
      <c r="O25">
        <f>N25/((1+$D$1)^((H25-$H$4)/365))</f>
        <v>208.41610511519053</v>
      </c>
    </row>
    <row r="26" spans="1:15">
      <c r="A26" s="1">
        <v>51682</v>
      </c>
      <c r="B26">
        <v>0</v>
      </c>
      <c r="C26">
        <v>1065.956083519613</v>
      </c>
      <c r="D26">
        <v>0</v>
      </c>
      <c r="E26">
        <v>0</v>
      </c>
      <c r="F26">
        <f>-B26+C26-D26+E26</f>
        <v>1065.9560835196125</v>
      </c>
      <c r="G26">
        <f>F26/((1+$B$1)^((A26-$A$4)/365))</f>
        <v>456.8811984306501</v>
      </c>
      <c r="H26" s="1">
        <v>51682</v>
      </c>
      <c r="I26">
        <v>0</v>
      </c>
      <c r="J26">
        <v>0</v>
      </c>
      <c r="K26">
        <v>0</v>
      </c>
      <c r="L26">
        <v>121.9077460932102</v>
      </c>
      <c r="M26">
        <v>944.0483374264024</v>
      </c>
      <c r="N26">
        <f>-I26-J26+K26+L26+M26</f>
        <v>1065.9560835196125</v>
      </c>
      <c r="O26">
        <f>N26/((1+$D$1)^((H26-$H$4)/365))</f>
        <v>289.5107069532014</v>
      </c>
    </row>
    <row r="27" spans="1:15">
      <c r="A27" s="1">
        <v>51866</v>
      </c>
      <c r="B27">
        <v>0</v>
      </c>
      <c r="C27">
        <v>1083.62386390944</v>
      </c>
      <c r="D27">
        <v>505.7577664912462</v>
      </c>
      <c r="E27">
        <v>0</v>
      </c>
      <c r="F27">
        <f>-B27+C27-D27+E27</f>
        <v>577.8660974181939</v>
      </c>
      <c r="G27">
        <f>F27/((1+$B$1)^((A27-$A$4)/365))</f>
        <v>238.25496187329153</v>
      </c>
      <c r="H27" s="1">
        <v>51866</v>
      </c>
      <c r="I27">
        <v>0</v>
      </c>
      <c r="J27">
        <v>0</v>
      </c>
      <c r="K27">
        <v>0</v>
      </c>
      <c r="L27">
        <v>85.85601091724941</v>
      </c>
      <c r="M27">
        <v>543.8694960092616</v>
      </c>
      <c r="N27">
        <f>-I27-J27+K27+L27+M27</f>
        <v>629.725506926511</v>
      </c>
      <c r="O27">
        <f>N27/((1+$D$1)^((H27-$H$4)/365))</f>
        <v>161.53451231324493</v>
      </c>
    </row>
    <row r="28" spans="1:15">
      <c r="A28" s="1">
        <v>52047</v>
      </c>
      <c r="B28">
        <v>0</v>
      </c>
      <c r="C28">
        <v>1087.275205190005</v>
      </c>
      <c r="D28">
        <v>0</v>
      </c>
      <c r="E28">
        <v>0</v>
      </c>
      <c r="F28">
        <f>-B28+C28-D28+E28</f>
        <v>1087.275205190005</v>
      </c>
      <c r="G28">
        <f>F28/((1+$B$1)^((A28-$A$4)/365))</f>
        <v>431.4989096289474</v>
      </c>
      <c r="H28" s="1">
        <v>52047</v>
      </c>
      <c r="I28">
        <v>0</v>
      </c>
      <c r="J28">
        <v>0</v>
      </c>
      <c r="K28">
        <v>0</v>
      </c>
      <c r="L28">
        <v>62.88021122157065</v>
      </c>
      <c r="M28">
        <v>1024.394993968434</v>
      </c>
      <c r="N28">
        <f>-I28-J28+K28+L28+M28</f>
        <v>1087.275205190005</v>
      </c>
      <c r="O28">
        <f>N28/((1+$D$1)^((H28-$H$4)/365))</f>
        <v>263.6615366895228</v>
      </c>
    </row>
    <row r="29" spans="1:15">
      <c r="A29" s="1">
        <v>52231</v>
      </c>
      <c r="B29">
        <v>0</v>
      </c>
      <c r="C29">
        <v>1105.296341187629</v>
      </c>
      <c r="D29">
        <v>516.5062551544046</v>
      </c>
      <c r="E29">
        <v>0</v>
      </c>
      <c r="F29">
        <f>-B29+C29-D29+E29</f>
        <v>588.7900860332244</v>
      </c>
      <c r="G29">
        <f>F29/((1+$B$1)^((A29-$A$4)/365))</f>
        <v>224.77679345705153</v>
      </c>
      <c r="H29" s="1">
        <v>52231</v>
      </c>
      <c r="I29">
        <v>0</v>
      </c>
      <c r="J29">
        <v>0</v>
      </c>
      <c r="K29">
        <v>26.82795494163292</v>
      </c>
      <c r="L29">
        <v>22.60983751321737</v>
      </c>
      <c r="M29">
        <v>560.6379546415992</v>
      </c>
      <c r="N29">
        <f>-I29-J29+K29+L29+M29</f>
        <v>610.0757470964495</v>
      </c>
      <c r="O29">
        <f>N29/((1+$D$1)^((H29-$H$4)/365))</f>
        <v>139.7268208775743</v>
      </c>
    </row>
    <row r="30" spans="1:15">
      <c r="A30" s="1">
        <v>52412</v>
      </c>
      <c r="B30">
        <v>0</v>
      </c>
      <c r="C30">
        <v>1109.020709293805</v>
      </c>
      <c r="D30">
        <v>0</v>
      </c>
      <c r="E30">
        <v>0</v>
      </c>
      <c r="F30">
        <f>-B30+C30-D30+E30</f>
        <v>1109.0207092938049</v>
      </c>
      <c r="G30">
        <f>F30/((1+$B$1)^((A30-$A$4)/365))</f>
        <v>407.5267479828947</v>
      </c>
      <c r="H30" s="1">
        <v>52412</v>
      </c>
      <c r="I30">
        <v>0</v>
      </c>
      <c r="J30">
        <v>0</v>
      </c>
      <c r="K30">
        <v>1109.020709293805</v>
      </c>
      <c r="L30">
        <v>0</v>
      </c>
      <c r="M30">
        <v>0</v>
      </c>
      <c r="N30">
        <f>-I30-J30+K30+L30+M30</f>
        <v>1109.0207092938049</v>
      </c>
      <c r="O30">
        <f>N30/((1+$D$1)^((H30-$H$4)/365))</f>
        <v>240.12032805652964</v>
      </c>
    </row>
    <row r="31" spans="1:15">
      <c r="A31" s="1">
        <v>52596</v>
      </c>
      <c r="B31">
        <v>0</v>
      </c>
      <c r="C31">
        <v>1127.402268011382</v>
      </c>
      <c r="D31">
        <v>527.4656816932846</v>
      </c>
      <c r="E31">
        <v>0</v>
      </c>
      <c r="F31">
        <f>-B31+C31-D31+E31</f>
        <v>599.9365863180973</v>
      </c>
      <c r="G31">
        <f>F31/((1+$B$1)^((A31-$A$4)/365))</f>
        <v>212.06674712952204</v>
      </c>
      <c r="H31" s="1">
        <v>52596</v>
      </c>
      <c r="I31">
        <v>0</v>
      </c>
      <c r="J31">
        <v>0</v>
      </c>
      <c r="K31">
        <v>599.9365863180973</v>
      </c>
      <c r="L31">
        <v>0</v>
      </c>
      <c r="M31">
        <v>0</v>
      </c>
      <c r="N31">
        <f>-I31-J31+K31+L31+M31</f>
        <v>599.9365863180973</v>
      </c>
      <c r="O31">
        <f>N31/((1+$D$1)^((H31-$H$4)/365))</f>
        <v>122.68270481946222</v>
      </c>
    </row>
    <row r="32" spans="1:15">
      <c r="A32" s="1">
        <v>52778</v>
      </c>
      <c r="B32">
        <v>0</v>
      </c>
      <c r="C32">
        <v>1134.343064226598</v>
      </c>
      <c r="D32">
        <v>0</v>
      </c>
      <c r="E32">
        <v>0</v>
      </c>
      <c r="F32">
        <f>-B32+C32-D32+E32</f>
        <v>1134.3430642265978</v>
      </c>
      <c r="G32">
        <f>F32/((1+$B$1)^((A32-$A$4)/365))</f>
        <v>385.874034121707</v>
      </c>
      <c r="H32" s="1">
        <v>52778</v>
      </c>
      <c r="I32">
        <v>0</v>
      </c>
      <c r="J32">
        <v>0</v>
      </c>
      <c r="K32">
        <v>1134.343064226598</v>
      </c>
      <c r="L32">
        <v>0</v>
      </c>
      <c r="M32">
        <v>0</v>
      </c>
      <c r="N32">
        <f>-I32-J32+K32+L32+M32</f>
        <v>1134.3430642265978</v>
      </c>
      <c r="O32">
        <f>N32/((1+$D$1)^((H32-$H$4)/365))</f>
        <v>219.22032910355168</v>
      </c>
    </row>
    <row r="33" spans="1:15">
      <c r="A33" s="1">
        <v>52962</v>
      </c>
      <c r="B33">
        <v>0</v>
      </c>
      <c r="C33">
        <v>1146.808372624692</v>
      </c>
      <c r="D33">
        <v>538.656473093517</v>
      </c>
      <c r="E33">
        <v>0</v>
      </c>
      <c r="F33">
        <f>-B33+C33-D33+E33</f>
        <v>608.1518995311751</v>
      </c>
      <c r="G33">
        <f>F33/((1+$B$1)^((A33-$A$4)/365))</f>
        <v>199.00499046483566</v>
      </c>
      <c r="H33" s="1">
        <v>52962</v>
      </c>
      <c r="I33">
        <v>0</v>
      </c>
      <c r="J33">
        <v>0</v>
      </c>
      <c r="K33">
        <v>608.1518995311751</v>
      </c>
      <c r="L33">
        <v>0</v>
      </c>
      <c r="M33">
        <v>0</v>
      </c>
      <c r="N33">
        <f>-I33-J33+K33+L33+M33</f>
        <v>608.1518995311751</v>
      </c>
      <c r="O33">
        <f>N33/((1+$D$1)^((H33-$H$4)/365))</f>
        <v>111.0036337503867</v>
      </c>
    </row>
    <row r="34" spans="1:15">
      <c r="A34" s="1">
        <v>53143</v>
      </c>
      <c r="B34">
        <v>0</v>
      </c>
      <c r="C34">
        <v>1153.825145949275</v>
      </c>
      <c r="D34">
        <v>0</v>
      </c>
      <c r="E34">
        <v>0</v>
      </c>
      <c r="F34">
        <f>-B34+C34-D34+E34</f>
        <v>1153.8251459492749</v>
      </c>
      <c r="G34">
        <f>F34/((1+$B$1)^((A34-$A$4)/365))</f>
        <v>363.42715932832584</v>
      </c>
      <c r="H34" s="1">
        <v>53143</v>
      </c>
      <c r="I34">
        <v>0</v>
      </c>
      <c r="J34">
        <v>0</v>
      </c>
      <c r="K34">
        <v>1153.825145949275</v>
      </c>
      <c r="L34">
        <v>0</v>
      </c>
      <c r="M34">
        <v>0</v>
      </c>
      <c r="N34">
        <f>-I34-J34+K34+L34+M34</f>
        <v>1153.8251459492749</v>
      </c>
      <c r="O34">
        <f>N34/((1+$D$1)^((H34-$H$4)/365))</f>
        <v>199.09409636660726</v>
      </c>
    </row>
    <row r="35" spans="1:15">
      <c r="A35" s="1">
        <v>53327</v>
      </c>
      <c r="B35">
        <v>0</v>
      </c>
      <c r="C35">
        <v>1172.949319639042</v>
      </c>
      <c r="D35">
        <v>550.0588233532287</v>
      </c>
      <c r="E35">
        <v>0</v>
      </c>
      <c r="F35">
        <f>-B35+C35-D35+E35</f>
        <v>622.8904962858128</v>
      </c>
      <c r="G35">
        <f>F35/((1+$B$1)^((A35-$A$4)/365))</f>
        <v>188.72952594018787</v>
      </c>
      <c r="H35" s="1">
        <v>53327</v>
      </c>
      <c r="I35">
        <v>0</v>
      </c>
      <c r="J35">
        <v>0</v>
      </c>
      <c r="K35">
        <v>622.8904962858128</v>
      </c>
      <c r="L35">
        <v>0</v>
      </c>
      <c r="M35">
        <v>0</v>
      </c>
      <c r="N35">
        <f>-I35-J35+K35+L35+M35</f>
        <v>622.8904962858128</v>
      </c>
      <c r="O35">
        <f>N35/((1+$D$1)^((H35-$H$4)/365))</f>
        <v>101.51233329324916</v>
      </c>
    </row>
    <row r="36" spans="1:15">
      <c r="A36" s="1">
        <v>53508</v>
      </c>
      <c r="B36">
        <v>0</v>
      </c>
      <c r="C36">
        <v>1176.90164886826</v>
      </c>
      <c r="D36">
        <v>0</v>
      </c>
      <c r="E36">
        <v>0</v>
      </c>
      <c r="F36">
        <f>-B36+C36-D36+E36</f>
        <v>1176.90164886826</v>
      </c>
      <c r="G36">
        <f>F36/((1+$B$1)^((A36-$A$4)/365))</f>
        <v>343.2367615878632</v>
      </c>
      <c r="H36" s="1">
        <v>53508</v>
      </c>
      <c r="I36">
        <v>0</v>
      </c>
      <c r="J36">
        <v>0</v>
      </c>
      <c r="K36">
        <v>1176.90164886826</v>
      </c>
      <c r="L36">
        <v>0</v>
      </c>
      <c r="M36">
        <v>0</v>
      </c>
      <c r="N36">
        <f>-I36-J36+K36+L36+M36</f>
        <v>1176.90164886826</v>
      </c>
      <c r="O36">
        <f>N36/((1+$D$1)^((H36-$H$4)/365))</f>
        <v>181.31783776244583</v>
      </c>
    </row>
    <row r="37" spans="1:15">
      <c r="A37" s="1">
        <v>53692</v>
      </c>
      <c r="B37">
        <v>0</v>
      </c>
      <c r="C37">
        <v>1196.408306031822</v>
      </c>
      <c r="D37">
        <v>561.6933331536266</v>
      </c>
      <c r="E37">
        <v>0</v>
      </c>
      <c r="F37">
        <f>-B37+C37-D37+E37</f>
        <v>634.7149728781958</v>
      </c>
      <c r="G37">
        <f>F37/((1+$B$1)^((A37-$A$4)/365))</f>
        <v>178.0668730175491</v>
      </c>
      <c r="H37" s="1">
        <v>53692</v>
      </c>
      <c r="I37">
        <v>0</v>
      </c>
      <c r="J37">
        <v>0</v>
      </c>
      <c r="K37">
        <v>634.7149728781958</v>
      </c>
      <c r="L37">
        <v>0</v>
      </c>
      <c r="M37">
        <v>0</v>
      </c>
      <c r="N37">
        <f>-I37-J37+K37+L37+M37</f>
        <v>634.7149728781958</v>
      </c>
      <c r="O37">
        <f>N37/((1+$D$1)^((H37-$H$4)/365))</f>
        <v>92.35657657041214</v>
      </c>
    </row>
    <row r="38" spans="1:15">
      <c r="A38" s="1">
        <v>53873</v>
      </c>
      <c r="B38">
        <v>0</v>
      </c>
      <c r="C38">
        <v>1200.439681845625</v>
      </c>
      <c r="D38">
        <v>0</v>
      </c>
      <c r="E38">
        <v>0</v>
      </c>
      <c r="F38">
        <f>-B38+C38-D38+E38</f>
        <v>1200.4396818456248</v>
      </c>
      <c r="G38">
        <f>F38/((1+$B$1)^((A38-$A$4)/365))</f>
        <v>324.16805261075956</v>
      </c>
      <c r="H38" s="1">
        <v>53873</v>
      </c>
      <c r="I38">
        <v>0</v>
      </c>
      <c r="J38">
        <v>0</v>
      </c>
      <c r="K38">
        <v>1200.439681845625</v>
      </c>
      <c r="L38">
        <v>0</v>
      </c>
      <c r="M38">
        <v>0</v>
      </c>
      <c r="N38">
        <f>-I38-J38+K38+L38+M38</f>
        <v>1200.4396818456248</v>
      </c>
      <c r="O38">
        <f>N38/((1+$D$1)^((H38-$H$4)/365))</f>
        <v>165.12874510508456</v>
      </c>
    </row>
    <row r="39" spans="1:15">
      <c r="A39" s="1">
        <v>54057</v>
      </c>
      <c r="B39">
        <v>0</v>
      </c>
      <c r="C39">
        <v>1220.336472152459</v>
      </c>
      <c r="D39">
        <v>573.5561493544443</v>
      </c>
      <c r="E39">
        <v>0</v>
      </c>
      <c r="F39">
        <f>-B39+C39-D39+E39</f>
        <v>646.7803227980145</v>
      </c>
      <c r="G39">
        <f>F39/((1+$B$1)^((A39-$A$4)/365))</f>
        <v>168.0108898849945</v>
      </c>
      <c r="H39" s="1">
        <v>54057</v>
      </c>
      <c r="I39">
        <v>0</v>
      </c>
      <c r="J39">
        <v>0</v>
      </c>
      <c r="K39">
        <v>646.7803227980145</v>
      </c>
      <c r="L39">
        <v>0</v>
      </c>
      <c r="M39">
        <v>0</v>
      </c>
      <c r="N39">
        <f>-I39-J39+K39+L39+M39</f>
        <v>646.7803227980145</v>
      </c>
      <c r="O39">
        <f>N39/((1+$D$1)^((H39-$H$4)/365))</f>
        <v>84.02874147005112</v>
      </c>
    </row>
    <row r="40" spans="1:15">
      <c r="A40" s="1">
        <v>54239</v>
      </c>
      <c r="B40">
        <v>0</v>
      </c>
      <c r="C40">
        <v>1227.849413191815</v>
      </c>
      <c r="D40">
        <v>0</v>
      </c>
      <c r="E40">
        <v>0</v>
      </c>
      <c r="F40">
        <f>-B40+C40-D40+E40</f>
        <v>1227.849413191815</v>
      </c>
      <c r="G40">
        <f>F40/((1+$B$1)^((A40-$A$4)/365))</f>
        <v>306.9443535017779</v>
      </c>
      <c r="H40" s="1">
        <v>54239</v>
      </c>
      <c r="I40">
        <v>0</v>
      </c>
      <c r="J40">
        <v>0</v>
      </c>
      <c r="K40">
        <v>1227.849413191815</v>
      </c>
      <c r="L40">
        <v>0</v>
      </c>
      <c r="M40">
        <v>0</v>
      </c>
      <c r="N40">
        <f>-I40-J40+K40+L40+M40</f>
        <v>1227.849413191815</v>
      </c>
      <c r="O40">
        <f>N40/((1+$D$1)^((H40-$H$4)/365))</f>
        <v>150.75599029612755</v>
      </c>
    </row>
    <row r="41" spans="1:15">
      <c r="A41" s="1">
        <v>54423</v>
      </c>
      <c r="B41">
        <v>0</v>
      </c>
      <c r="C41">
        <v>1241.34226388623</v>
      </c>
      <c r="D41">
        <v>585.6694609419543</v>
      </c>
      <c r="E41">
        <v>0</v>
      </c>
      <c r="F41">
        <f>-B41+C41-D41+E41</f>
        <v>655.672802944276</v>
      </c>
      <c r="G41">
        <f>F41/((1+$B$1)^((A41-$A$4)/365))</f>
        <v>157.67123726623964</v>
      </c>
      <c r="H41" s="1">
        <v>54423</v>
      </c>
      <c r="I41">
        <v>0</v>
      </c>
      <c r="J41">
        <v>0</v>
      </c>
      <c r="K41">
        <v>655.672802944276</v>
      </c>
      <c r="L41">
        <v>0</v>
      </c>
      <c r="M41">
        <v>0</v>
      </c>
      <c r="N41">
        <f>-I41-J41+K41+L41+M41</f>
        <v>655.672802944276</v>
      </c>
      <c r="O41">
        <f>N41/((1+$D$1)^((H41-$H$4)/365))</f>
        <v>76.03356666964672</v>
      </c>
    </row>
    <row r="42" spans="1:15">
      <c r="A42" s="1">
        <v>54604</v>
      </c>
      <c r="B42">
        <v>0</v>
      </c>
      <c r="C42">
        <v>1248.937444992189</v>
      </c>
      <c r="D42">
        <v>0</v>
      </c>
      <c r="E42">
        <v>0</v>
      </c>
      <c r="F42">
        <f>-B42+C42-D42+E42</f>
        <v>1248.9374449921888</v>
      </c>
      <c r="G42">
        <f>F42/((1+$B$1)^((A42-$A$4)/365))</f>
        <v>289.08893732361497</v>
      </c>
      <c r="H42" s="1">
        <v>54604</v>
      </c>
      <c r="I42">
        <v>0</v>
      </c>
      <c r="J42">
        <v>0</v>
      </c>
      <c r="K42">
        <v>1248.937444992189</v>
      </c>
      <c r="L42">
        <v>0</v>
      </c>
      <c r="M42">
        <v>0</v>
      </c>
      <c r="N42">
        <f>-I42-J42+K42+L42+M42</f>
        <v>1248.9374449921888</v>
      </c>
      <c r="O42">
        <f>N42/((1+$D$1)^((H42-$H$4)/365))</f>
        <v>136.9153480546173</v>
      </c>
    </row>
    <row r="43" spans="1:15">
      <c r="A43" s="1">
        <v>54788</v>
      </c>
      <c r="B43">
        <v>0</v>
      </c>
      <c r="C43">
        <v>1269.638065627418</v>
      </c>
      <c r="D43">
        <v>598.0117120226273</v>
      </c>
      <c r="E43">
        <v>0</v>
      </c>
      <c r="F43">
        <f>-B43+C43-D43+E43</f>
        <v>671.6263536047911</v>
      </c>
      <c r="G43">
        <f>F43/((1+$B$1)^((A43-$A$4)/365))</f>
        <v>149.54409859606884</v>
      </c>
      <c r="H43" s="1">
        <v>54788</v>
      </c>
      <c r="I43">
        <v>0</v>
      </c>
      <c r="J43">
        <v>0</v>
      </c>
      <c r="K43">
        <v>671.6263536047911</v>
      </c>
      <c r="L43">
        <v>0</v>
      </c>
      <c r="M43">
        <v>0</v>
      </c>
      <c r="N43">
        <f>-I43-J43+K43+L43+M43</f>
        <v>671.6263536047911</v>
      </c>
      <c r="O43">
        <f>N43/((1+$D$1)^((H43-$H$4)/365))</f>
        <v>69.53891334512596</v>
      </c>
    </row>
    <row r="44" spans="1:15">
      <c r="A44" s="1">
        <v>54969</v>
      </c>
      <c r="B44">
        <v>0</v>
      </c>
      <c r="C44">
        <v>1273.916193892032</v>
      </c>
      <c r="D44">
        <v>0</v>
      </c>
      <c r="E44">
        <v>0</v>
      </c>
      <c r="F44">
        <f>-B44+C44-D44+E44</f>
        <v>1273.916193892032</v>
      </c>
      <c r="G44">
        <f>F44/((1+$B$1)^((A44-$A$4)/365))</f>
        <v>273.02844080563625</v>
      </c>
      <c r="H44" s="1">
        <v>54969</v>
      </c>
      <c r="I44">
        <v>0</v>
      </c>
      <c r="J44">
        <v>0</v>
      </c>
      <c r="K44">
        <v>1273.916193892032</v>
      </c>
      <c r="L44">
        <v>0</v>
      </c>
      <c r="M44">
        <v>0</v>
      </c>
      <c r="N44">
        <f>-I44-J44+K44+L44+M44</f>
        <v>1273.916193892032</v>
      </c>
      <c r="O44">
        <f>N44/((1+$D$1)^((H44-$H$4)/365))</f>
        <v>124.69076340688356</v>
      </c>
    </row>
    <row r="45" spans="1:15">
      <c r="A45" s="1">
        <v>55153</v>
      </c>
      <c r="B45">
        <v>0</v>
      </c>
      <c r="C45">
        <v>1295.030826939967</v>
      </c>
      <c r="D45">
        <v>608.8972937782062</v>
      </c>
      <c r="E45">
        <v>0</v>
      </c>
      <c r="F45">
        <f>-B45+C45-D45+E45</f>
        <v>686.1335331617606</v>
      </c>
      <c r="G45">
        <f>F45/((1+$B$1)^((A45-$A$4)/365))</f>
        <v>141.4576503053511</v>
      </c>
      <c r="H45" s="1">
        <v>55153</v>
      </c>
      <c r="I45">
        <v>0</v>
      </c>
      <c r="J45">
        <v>0</v>
      </c>
      <c r="K45">
        <v>686.1335331617606</v>
      </c>
      <c r="L45">
        <v>0</v>
      </c>
      <c r="M45">
        <v>0</v>
      </c>
      <c r="N45">
        <f>-I45-J45+K45+L45+M45</f>
        <v>686.1335331617606</v>
      </c>
      <c r="O45">
        <f>N45/((1+$D$1)^((H45-$H$4)/365))</f>
        <v>63.42942775296881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6" width="21.7109375" customWidth="1"/>
  </cols>
  <sheetData>
    <row r="1" spans="1:7">
      <c r="A1" t="s">
        <v>16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9</v>
      </c>
    </row>
    <row r="2" spans="1:7">
      <c r="A2" s="1">
        <v>47849</v>
      </c>
      <c r="B2">
        <v>2</v>
      </c>
      <c r="C2">
        <v>6477.352578925075</v>
      </c>
      <c r="D2">
        <v>16</v>
      </c>
      <c r="E2">
        <f>SUMPRODUCT(('8_ev_BANK_Inputs'!$C$12:$C$51&gt;=B2)*('8_ev_BANK_Inputs'!$C$12:$C$51&lt;=D2)*'8_ev_BANK_Inputs'!$L$12:$L$51/((1+'8_ev_BANK_Inputs'!$B$2)^(('8_ev_BANK_Inputs'!$A$12:$A$51-A2)/365)))/C2</f>
        <v>1.4352886781080982</v>
      </c>
      <c r="F2">
        <v>1.435288678108099</v>
      </c>
      <c r="G2">
        <f>E2-F2</f>
        <v>-4.440892098500626e-16</v>
      </c>
    </row>
    <row r="3" spans="1:7">
      <c r="A3" s="1">
        <v>48029</v>
      </c>
      <c r="B3">
        <v>3</v>
      </c>
      <c r="C3">
        <v>6414.556818826738</v>
      </c>
      <c r="D3">
        <v>16</v>
      </c>
      <c r="E3">
        <f>SUMPRODUCT(('8_ev_BANK_Inputs'!$C$12:$C$51&gt;=B3)*('8_ev_BANK_Inputs'!$C$12:$C$51&lt;=D3)*'8_ev_BANK_Inputs'!$L$12:$L$51/((1+'8_ev_BANK_Inputs'!$B$2)^(('8_ev_BANK_Inputs'!$A$12:$A$51-A3)/365)))/C3</f>
        <v>1.436008861954239</v>
      </c>
      <c r="F3">
        <v>1.43600886195424</v>
      </c>
      <c r="G3">
        <f>E3-F3</f>
        <v>-6.661338147750939e-16</v>
      </c>
    </row>
    <row r="4" spans="1:7">
      <c r="A4" s="1">
        <v>48213</v>
      </c>
      <c r="B4">
        <v>4</v>
      </c>
      <c r="C4">
        <v>6349.89196038442</v>
      </c>
      <c r="D4">
        <v>16</v>
      </c>
      <c r="E4">
        <f>SUMPRODUCT(('8_ev_BANK_Inputs'!$C$12:$C$51&gt;=B4)*('8_ev_BANK_Inputs'!$C$12:$C$51&lt;=D4)*'8_ev_BANK_Inputs'!$L$12:$L$51/((1+'8_ev_BANK_Inputs'!$B$2)^(('8_ev_BANK_Inputs'!$A$12:$A$51-A4)/365)))/C4</f>
        <v>1.4368076117339437</v>
      </c>
      <c r="F4">
        <v>1.436807611733944</v>
      </c>
      <c r="G4">
        <f>E4-F4</f>
        <v>-4.440892098500626e-16</v>
      </c>
    </row>
    <row r="5" spans="1:7">
      <c r="A5" s="1">
        <v>48395</v>
      </c>
      <c r="B5">
        <v>5</v>
      </c>
      <c r="C5">
        <v>6067.003431467831</v>
      </c>
      <c r="D5">
        <v>16</v>
      </c>
      <c r="E5">
        <f>SUMPRODUCT(('8_ev_BANK_Inputs'!$C$12:$C$51&gt;=B5)*('8_ev_BANK_Inputs'!$C$12:$C$51&lt;=D5)*'8_ev_BANK_Inputs'!$L$12:$L$51/((1+'8_ev_BANK_Inputs'!$B$2)^(('8_ev_BANK_Inputs'!$A$12:$A$51-A5)/365)))/C5</f>
        <v>1.442602359086842</v>
      </c>
      <c r="F5">
        <v>1.442602359086842</v>
      </c>
      <c r="G5">
        <f>E5-F5</f>
        <v>-2.220446049250313e-16</v>
      </c>
    </row>
    <row r="6" spans="1:7">
      <c r="A6" s="1">
        <v>48579</v>
      </c>
      <c r="B6">
        <v>6</v>
      </c>
      <c r="C6">
        <v>5772.330989178203</v>
      </c>
      <c r="D6">
        <v>16</v>
      </c>
      <c r="E6">
        <f>SUMPRODUCT(('8_ev_BANK_Inputs'!$C$12:$C$51&gt;=B6)*('8_ev_BANK_Inputs'!$C$12:$C$51&lt;=D6)*'8_ev_BANK_Inputs'!$L$12:$L$51/((1+'8_ev_BANK_Inputs'!$B$2)^(('8_ev_BANK_Inputs'!$A$12:$A$51-A6)/365)))/C6</f>
        <v>1.4494616471275037</v>
      </c>
      <c r="F6">
        <v>1.449461647127504</v>
      </c>
      <c r="G6">
        <f>E6-F6</f>
        <v>-6.661338147750939e-16</v>
      </c>
    </row>
    <row r="7" spans="1:7">
      <c r="A7" s="1">
        <v>48760</v>
      </c>
      <c r="B7">
        <v>7</v>
      </c>
      <c r="C7">
        <v>5246.629702175711</v>
      </c>
      <c r="D7">
        <v>16</v>
      </c>
      <c r="E7">
        <f>SUMPRODUCT(('8_ev_BANK_Inputs'!$C$12:$C$51&gt;=B7)*('8_ev_BANK_Inputs'!$C$12:$C$51&lt;=D7)*'8_ev_BANK_Inputs'!$L$12:$L$51/((1+'8_ev_BANK_Inputs'!$B$2)^(('8_ev_BANK_Inputs'!$A$12:$A$51-A7)/365)))/C7</f>
        <v>1.464198076882707</v>
      </c>
      <c r="F7">
        <v>1.464198076882707</v>
      </c>
      <c r="G7">
        <f>E7-F7</f>
        <v>0.0</v>
      </c>
    </row>
    <row r="8" spans="1:7">
      <c r="A8" s="1">
        <v>48944</v>
      </c>
      <c r="B8">
        <v>8</v>
      </c>
      <c r="C8">
        <v>4696.093628038435</v>
      </c>
      <c r="D8">
        <v>16</v>
      </c>
      <c r="E8">
        <f>SUMPRODUCT(('8_ev_BANK_Inputs'!$C$12:$C$51&gt;=B8)*('8_ev_BANK_Inputs'!$C$12:$C$51&lt;=D8)*'8_ev_BANK_Inputs'!$L$12:$L$51/((1+'8_ev_BANK_Inputs'!$B$2)^(('8_ev_BANK_Inputs'!$A$12:$A$51-A8)/365)))/C8</f>
        <v>1.4836606380161916</v>
      </c>
      <c r="F8">
        <v>1.483660638016192</v>
      </c>
      <c r="G8">
        <f>E8-F8</f>
        <v>0.0</v>
      </c>
    </row>
    <row r="9" spans="1:7">
      <c r="A9" s="1">
        <v>49125</v>
      </c>
      <c r="B9">
        <v>9</v>
      </c>
      <c r="C9">
        <v>4123.929181871372</v>
      </c>
      <c r="D9">
        <v>16</v>
      </c>
      <c r="E9">
        <f>SUMPRODUCT(('8_ev_BANK_Inputs'!$C$12:$C$51&gt;=B9)*('8_ev_BANK_Inputs'!$C$12:$C$51&lt;=D9)*'8_ev_BANK_Inputs'!$L$12:$L$51/((1+'8_ev_BANK_Inputs'!$B$2)^(('8_ev_BANK_Inputs'!$A$12:$A$51-A9)/365)))/C9</f>
        <v>1.509942306533795</v>
      </c>
      <c r="F9">
        <v>1.509942306533795</v>
      </c>
      <c r="G9">
        <f>E9-F9</f>
        <v>-2.220446049250313e-16</v>
      </c>
    </row>
    <row r="10" spans="1:7">
      <c r="A10" s="1">
        <v>49309</v>
      </c>
      <c r="B10">
        <v>10</v>
      </c>
      <c r="C10">
        <v>3564.591615394264</v>
      </c>
      <c r="D10">
        <v>16</v>
      </c>
      <c r="E10">
        <f>SUMPRODUCT(('8_ev_BANK_Inputs'!$C$12:$C$51&gt;=B10)*('8_ev_BANK_Inputs'!$C$12:$C$51&lt;=D10)*'8_ev_BANK_Inputs'!$L$12:$L$51/((1+'8_ev_BANK_Inputs'!$B$2)^(('8_ev_BANK_Inputs'!$A$12:$A$51-A10)/365)))/C10</f>
        <v>1.5445539636016603</v>
      </c>
      <c r="F10">
        <v>1.544553963601661</v>
      </c>
      <c r="G10">
        <f>E10-F10</f>
        <v>-2.220446049250313e-16</v>
      </c>
    </row>
    <row r="11" spans="1:7">
      <c r="A11" s="1">
        <v>49490</v>
      </c>
      <c r="B11">
        <v>11</v>
      </c>
      <c r="C11">
        <v>2944.016926433512</v>
      </c>
      <c r="D11">
        <v>16</v>
      </c>
      <c r="E11">
        <f>SUMPRODUCT(('8_ev_BANK_Inputs'!$C$12:$C$51&gt;=B11)*('8_ev_BANK_Inputs'!$C$12:$C$51&lt;=D11)*'8_ev_BANK_Inputs'!$L$12:$L$51/((1+'8_ev_BANK_Inputs'!$B$2)^(('8_ev_BANK_Inputs'!$A$12:$A$51-A11)/365)))/C11</f>
        <v>1.5989384397640583</v>
      </c>
      <c r="F11">
        <v>1.598938439764058</v>
      </c>
      <c r="G11">
        <f>E11-F11</f>
        <v>-2.220446049250313e-16</v>
      </c>
    </row>
    <row r="12" spans="1:7">
      <c r="A12" s="1">
        <v>49674</v>
      </c>
      <c r="B12">
        <v>12</v>
      </c>
      <c r="C12">
        <v>2428.623661205016</v>
      </c>
      <c r="D12">
        <v>16</v>
      </c>
      <c r="E12">
        <f>SUMPRODUCT(('8_ev_BANK_Inputs'!$C$12:$C$51&gt;=B12)*('8_ev_BANK_Inputs'!$C$12:$C$51&lt;=D12)*'8_ev_BANK_Inputs'!$L$12:$L$51/((1+'8_ev_BANK_Inputs'!$B$2)^(('8_ev_BANK_Inputs'!$A$12:$A$51-A12)/365)))/C12</f>
        <v>1.6670778015545205</v>
      </c>
      <c r="F12">
        <v>1.667077801554521</v>
      </c>
      <c r="G12">
        <f>E12-F12</f>
        <v>-2.220446049250313e-16</v>
      </c>
    </row>
    <row r="13" spans="1:7">
      <c r="A13" s="1">
        <v>49856</v>
      </c>
      <c r="B13">
        <v>13</v>
      </c>
      <c r="C13">
        <v>1757.560463843347</v>
      </c>
      <c r="D13">
        <v>16</v>
      </c>
      <c r="E13">
        <f>SUMPRODUCT(('8_ev_BANK_Inputs'!$C$12:$C$51&gt;=B13)*('8_ev_BANK_Inputs'!$C$12:$C$51&lt;=D13)*'8_ev_BANK_Inputs'!$L$12:$L$51/((1+'8_ev_BANK_Inputs'!$B$2)^(('8_ev_BANK_Inputs'!$A$12:$A$51-A13)/365)))/C13</f>
        <v>1.815071487591214</v>
      </c>
      <c r="F13">
        <v>1.815071487591214</v>
      </c>
      <c r="G13">
        <f>E13-F13</f>
        <v>0.0</v>
      </c>
    </row>
    <row r="14" spans="1:7">
      <c r="A14" s="1">
        <v>50040</v>
      </c>
      <c r="B14">
        <v>14</v>
      </c>
      <c r="C14">
        <v>1259.924739938745</v>
      </c>
      <c r="D14">
        <v>16</v>
      </c>
      <c r="E14">
        <f>SUMPRODUCT(('8_ev_BANK_Inputs'!$C$12:$C$51&gt;=B14)*('8_ev_BANK_Inputs'!$C$12:$C$51&lt;=D14)*'8_ev_BANK_Inputs'!$L$12:$L$51/((1+'8_ev_BANK_Inputs'!$B$2)^(('8_ev_BANK_Inputs'!$A$12:$A$51-A14)/365)))/C14</f>
        <v>2.0321673501386983</v>
      </c>
      <c r="F14">
        <v>2.032167350138698</v>
      </c>
      <c r="G14">
        <f>E14-F14</f>
        <v>0.0</v>
      </c>
    </row>
    <row r="15" spans="1:7">
      <c r="A15" s="1">
        <v>50221</v>
      </c>
      <c r="B15">
        <v>15</v>
      </c>
      <c r="C15">
        <v>540.4104295130014</v>
      </c>
      <c r="D15">
        <v>16</v>
      </c>
      <c r="E15">
        <f>SUMPRODUCT(('8_ev_BANK_Inputs'!$C$12:$C$51&gt;=B15)*('8_ev_BANK_Inputs'!$C$12:$C$51&lt;=D15)*'8_ev_BANK_Inputs'!$L$12:$L$51/((1+'8_ev_BANK_Inputs'!$B$2)^(('8_ev_BANK_Inputs'!$A$12:$A$51-A15)/365)))/C15</f>
        <v>3.043036529114869</v>
      </c>
      <c r="F15">
        <v>3.04303652911487</v>
      </c>
      <c r="G15">
        <f>E15-F15</f>
        <v>-4.440892098500626e-16</v>
      </c>
    </row>
    <row r="16" spans="1:7">
      <c r="A16" s="1">
        <v>50405</v>
      </c>
      <c r="B16">
        <v>16</v>
      </c>
      <c r="C16">
        <v>9.811847464555171</v>
      </c>
      <c r="D16">
        <v>16</v>
      </c>
      <c r="E16">
        <f>SUMPRODUCT(('8_ev_BANK_Inputs'!$C$12:$C$51&gt;=B16)*('8_ev_BANK_Inputs'!$C$12:$C$51&lt;=D16)*'8_ev_BANK_Inputs'!$L$12:$L$51/((1+'8_ev_BANK_Inputs'!$B$2)^(('8_ev_BANK_Inputs'!$A$12:$A$51-A16)/365)))/C16</f>
        <v>99.69131792252006</v>
      </c>
      <c r="F16">
        <v>99.69131792252004</v>
      </c>
      <c r="G16">
        <f>E16-F16</f>
        <v>1.4210854715202004e-14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Oracle_Review</vt:lpstr>
      <vt:lpstr>1_sol_BASE_Inputs</vt:lpstr>
      <vt:lpstr>1_sol_BASE_CF</vt:lpstr>
      <vt:lpstr>1_sol_BASE_Roll</vt:lpstr>
      <vt:lpstr>2_sol_BANK_Inputs</vt:lpstr>
      <vt:lpstr>2_sol_BANK_CF</vt:lpstr>
      <vt:lpstr>2_sol_BANK_Roll</vt:lpstr>
      <vt:lpstr>3_win_BASE_Inputs</vt:lpstr>
      <vt:lpstr>3_win_BASE_CF</vt:lpstr>
      <vt:lpstr>3_win_BASE_Roll</vt:lpstr>
      <vt:lpstr>4_win_BANK_Inputs</vt:lpstr>
      <vt:lpstr>4_win_BANK_CF</vt:lpstr>
      <vt:lpstr>4_win_BANK_Roll</vt:lpstr>
      <vt:lpstr>5_dat_BASE_Inputs</vt:lpstr>
      <vt:lpstr>5_dat_BASE_CF</vt:lpstr>
      <vt:lpstr>5_dat_BASE_Roll</vt:lpstr>
      <vt:lpstr>6_dat_BANK_Inputs</vt:lpstr>
      <vt:lpstr>6_dat_BANK_CF</vt:lpstr>
      <vt:lpstr>6_dat_BANK_Roll</vt:lpstr>
      <vt:lpstr>7_ev_BASE_Inputs</vt:lpstr>
      <vt:lpstr>7_ev_BASE_CF</vt:lpstr>
      <vt:lpstr>7_ev_BASE_Roll</vt:lpstr>
      <vt:lpstr>8_ev_BANK_Inputs</vt:lpstr>
      <vt:lpstr>8_ev_BANK_CF</vt:lpstr>
      <vt:lpstr>8_ev_BANK_Roll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2026-10-27T14:24:27Z</dcterms:created>
  <dcterms:modified xsi:type="dcterms:W3CDTF">2026-10-27T14:24:27Z</dcterms:modified>
</cp:coreProperties>
</file>